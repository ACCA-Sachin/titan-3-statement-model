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My FM projects\Titan Co\"/>
    </mc:Choice>
  </mc:AlternateContent>
  <xr:revisionPtr revIDLastSave="0" documentId="13_ncr:1_{5053709C-E07A-4D12-A88A-D6A2C9B281DD}" xr6:coauthVersionLast="47" xr6:coauthVersionMax="47" xr10:uidLastSave="{00000000-0000-0000-0000-000000000000}"/>
  <bookViews>
    <workbookView xWindow="-120" yWindow="-120" windowWidth="24240" windowHeight="13140" tabRatio="824" activeTab="4" xr2:uid="{00000000-000D-0000-FFFF-FFFF00000000}"/>
  </bookViews>
  <sheets>
    <sheet name="Cover" sheetId="13" r:id="rId1"/>
    <sheet name="Summary" sheetId="21" r:id="rId2"/>
    <sheet name="Assumptions" sheetId="15" r:id="rId3"/>
    <sheet name="Financials&gt;" sheetId="7" r:id="rId4"/>
    <sheet name="Historical FS" sheetId="8" r:id="rId5"/>
    <sheet name="Forcasting" sheetId="12" r:id="rId6"/>
    <sheet name="FA Schedule" sheetId="17" r:id="rId7"/>
    <sheet name="WC Schedule" sheetId="18" r:id="rId8"/>
    <sheet name="Debt Schedule" sheetId="16" r:id="rId9"/>
    <sheet name="Ratio Analysis" sheetId="11" r:id="rId10"/>
    <sheet name="Checks" sheetId="19" r:id="rId11"/>
    <sheet name="Data&gt;" sheetId="9" r:id="rId12"/>
    <sheet name="Data Sheet" sheetId="6" r:id="rId13"/>
    <sheet name="Cashflow Data" sheetId="10" r:id="rId14"/>
    <sheet name="Other liabilities Data" sheetId="20" r:id="rId1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6" i="8" l="1"/>
  <c r="G17" i="18"/>
  <c r="H17" i="18"/>
  <c r="I17" i="18"/>
  <c r="H8" i="18"/>
  <c r="C7" i="17"/>
  <c r="H33" i="12"/>
  <c r="M34" i="12" s="1"/>
  <c r="N34" i="12"/>
  <c r="O34" i="12"/>
  <c r="P34" i="12"/>
  <c r="Q34" i="12"/>
  <c r="H6" i="12"/>
  <c r="F17" i="18" l="1"/>
  <c r="D9" i="8"/>
  <c r="G3" i="21"/>
  <c r="H3" i="21" s="1"/>
  <c r="I3" i="21" s="1"/>
  <c r="J3" i="21" s="1"/>
  <c r="K3" i="21" s="1"/>
  <c r="L3" i="21" s="1"/>
  <c r="F3" i="21"/>
  <c r="E3" i="21"/>
  <c r="D3" i="21"/>
  <c r="C3" i="21"/>
  <c r="G29" i="21"/>
  <c r="F29" i="21"/>
  <c r="E29" i="21"/>
  <c r="D29" i="21"/>
  <c r="C29" i="21"/>
  <c r="G28" i="21"/>
  <c r="F28" i="21"/>
  <c r="E28" i="21"/>
  <c r="D28" i="21"/>
  <c r="C28" i="21"/>
  <c r="G27" i="21"/>
  <c r="F27" i="21"/>
  <c r="E27" i="21"/>
  <c r="D27" i="21"/>
  <c r="C27" i="21"/>
  <c r="G26" i="21"/>
  <c r="F26" i="21"/>
  <c r="E26" i="21"/>
  <c r="D26" i="21"/>
  <c r="C26" i="21"/>
  <c r="G25" i="21"/>
  <c r="F25" i="21"/>
  <c r="E25" i="21"/>
  <c r="D25" i="21"/>
  <c r="C25" i="21"/>
  <c r="G24" i="21"/>
  <c r="F24" i="21"/>
  <c r="E24" i="21"/>
  <c r="D24" i="21"/>
  <c r="C24" i="21"/>
  <c r="G21" i="21"/>
  <c r="F21" i="21"/>
  <c r="E21" i="21"/>
  <c r="D21" i="21"/>
  <c r="C21" i="21"/>
  <c r="G20" i="21"/>
  <c r="F20" i="21"/>
  <c r="E20" i="21"/>
  <c r="D20" i="21"/>
  <c r="C20" i="21"/>
  <c r="G19" i="21"/>
  <c r="F19" i="21"/>
  <c r="E19" i="21"/>
  <c r="D19" i="21"/>
  <c r="C19" i="21"/>
  <c r="G18" i="21"/>
  <c r="F18" i="21"/>
  <c r="E18" i="21"/>
  <c r="D18" i="21"/>
  <c r="C18" i="21"/>
  <c r="G17" i="21"/>
  <c r="F17" i="21"/>
  <c r="E17" i="21"/>
  <c r="D17" i="21"/>
  <c r="C17" i="21"/>
  <c r="G16" i="21"/>
  <c r="F16" i="21"/>
  <c r="E16" i="21"/>
  <c r="D16" i="21"/>
  <c r="C16" i="21"/>
  <c r="G13" i="21"/>
  <c r="F13" i="21"/>
  <c r="E13" i="21"/>
  <c r="D13" i="21"/>
  <c r="C13" i="21"/>
  <c r="G12" i="21"/>
  <c r="F12" i="21"/>
  <c r="E12" i="21"/>
  <c r="D12" i="21"/>
  <c r="C12" i="21"/>
  <c r="O11" i="21"/>
  <c r="G11" i="21"/>
  <c r="F11" i="21"/>
  <c r="E11" i="21"/>
  <c r="D11" i="21"/>
  <c r="C11" i="21"/>
  <c r="O10" i="21"/>
  <c r="G10" i="21"/>
  <c r="F10" i="21"/>
  <c r="E10" i="21"/>
  <c r="D10" i="21"/>
  <c r="C10" i="21"/>
  <c r="O9" i="21"/>
  <c r="G9" i="21"/>
  <c r="F9" i="21"/>
  <c r="E9" i="21"/>
  <c r="D9" i="21"/>
  <c r="C9" i="21"/>
  <c r="O8" i="21"/>
  <c r="G8" i="21"/>
  <c r="F8" i="21"/>
  <c r="E8" i="21"/>
  <c r="D8" i="21"/>
  <c r="C8" i="21"/>
  <c r="O7" i="21"/>
  <c r="L7" i="21"/>
  <c r="K7" i="21"/>
  <c r="J7" i="21"/>
  <c r="I7" i="21"/>
  <c r="H7" i="21"/>
  <c r="G7" i="21"/>
  <c r="F7" i="21"/>
  <c r="E7" i="21"/>
  <c r="D7" i="21"/>
  <c r="C7" i="21"/>
  <c r="H6" i="21"/>
  <c r="G6" i="21"/>
  <c r="F6" i="21"/>
  <c r="E6" i="21"/>
  <c r="D6" i="21"/>
  <c r="C6" i="21"/>
  <c r="O6" i="21"/>
  <c r="B2" i="21"/>
  <c r="G10" i="19"/>
  <c r="F10" i="19"/>
  <c r="E10" i="19"/>
  <c r="D10" i="19"/>
  <c r="C10" i="19"/>
  <c r="G22" i="18"/>
  <c r="F22" i="18"/>
  <c r="E22" i="18"/>
  <c r="D22" i="18"/>
  <c r="C22" i="18"/>
  <c r="G29" i="11"/>
  <c r="F29" i="11"/>
  <c r="E29" i="11"/>
  <c r="E35" i="11" s="1"/>
  <c r="E36" i="11" s="1"/>
  <c r="D29" i="11"/>
  <c r="C29" i="11"/>
  <c r="G9" i="19"/>
  <c r="F9" i="19"/>
  <c r="E9" i="19"/>
  <c r="D9" i="19"/>
  <c r="C9" i="19"/>
  <c r="G4" i="19"/>
  <c r="F4" i="19"/>
  <c r="E4" i="19"/>
  <c r="D4" i="19"/>
  <c r="C4" i="19"/>
  <c r="G8" i="19"/>
  <c r="F8" i="19"/>
  <c r="E8" i="19"/>
  <c r="D8" i="19"/>
  <c r="C8" i="19"/>
  <c r="G7" i="19"/>
  <c r="F7" i="19"/>
  <c r="E7" i="19"/>
  <c r="D7" i="19"/>
  <c r="G5" i="19"/>
  <c r="F5" i="19"/>
  <c r="E5" i="19"/>
  <c r="D5" i="19"/>
  <c r="C5" i="19"/>
  <c r="B2" i="19"/>
  <c r="D18" i="18"/>
  <c r="D19" i="18"/>
  <c r="C19" i="18"/>
  <c r="C17" i="18"/>
  <c r="H3" i="19"/>
  <c r="I3" i="19" s="1"/>
  <c r="J3" i="19" s="1"/>
  <c r="K3" i="19" s="1"/>
  <c r="L3" i="19" s="1"/>
  <c r="G3" i="19"/>
  <c r="F3" i="19"/>
  <c r="E3" i="19"/>
  <c r="D3" i="19"/>
  <c r="C3" i="19"/>
  <c r="G73" i="12"/>
  <c r="F73" i="12"/>
  <c r="E73" i="12"/>
  <c r="D73" i="12"/>
  <c r="C73" i="12"/>
  <c r="G3" i="11"/>
  <c r="H3" i="11" s="1"/>
  <c r="I3" i="11" s="1"/>
  <c r="J3" i="11" s="1"/>
  <c r="K3" i="11" s="1"/>
  <c r="L3" i="11" s="1"/>
  <c r="F3" i="11"/>
  <c r="E3" i="11"/>
  <c r="D3" i="11"/>
  <c r="C3" i="11"/>
  <c r="G40" i="11"/>
  <c r="F40" i="11"/>
  <c r="E40" i="11"/>
  <c r="D40" i="11"/>
  <c r="G39" i="11"/>
  <c r="F39" i="11"/>
  <c r="E39" i="11"/>
  <c r="D39" i="11"/>
  <c r="G38" i="11"/>
  <c r="F38" i="11"/>
  <c r="E38" i="11"/>
  <c r="D38" i="11"/>
  <c r="G35" i="11"/>
  <c r="F35" i="11"/>
  <c r="F36" i="11" s="1"/>
  <c r="D35" i="11"/>
  <c r="G34" i="11"/>
  <c r="F34" i="11"/>
  <c r="E34" i="11"/>
  <c r="D34" i="11"/>
  <c r="G33" i="11"/>
  <c r="F33" i="11"/>
  <c r="E33" i="11"/>
  <c r="D33" i="11"/>
  <c r="C40" i="11"/>
  <c r="C39" i="11"/>
  <c r="C38" i="11"/>
  <c r="C33" i="11"/>
  <c r="G31" i="11"/>
  <c r="F31" i="11"/>
  <c r="E31" i="11"/>
  <c r="D31" i="11"/>
  <c r="G30" i="11"/>
  <c r="F30" i="11"/>
  <c r="E30" i="11"/>
  <c r="D30" i="11"/>
  <c r="G28" i="11"/>
  <c r="F28" i="11"/>
  <c r="E28" i="11"/>
  <c r="D28" i="11"/>
  <c r="G27" i="11"/>
  <c r="F27" i="11"/>
  <c r="E27" i="11"/>
  <c r="D27" i="11"/>
  <c r="C31" i="11"/>
  <c r="C30" i="11"/>
  <c r="C28" i="11"/>
  <c r="C27" i="11"/>
  <c r="G25" i="11"/>
  <c r="F25" i="11"/>
  <c r="E25" i="11"/>
  <c r="D25" i="11"/>
  <c r="F24" i="11"/>
  <c r="G23" i="11"/>
  <c r="F23" i="11"/>
  <c r="E23" i="11"/>
  <c r="D23" i="11"/>
  <c r="G22" i="11"/>
  <c r="G24" i="11" s="1"/>
  <c r="F22" i="11"/>
  <c r="E22" i="11"/>
  <c r="E24" i="11" s="1"/>
  <c r="D22" i="11"/>
  <c r="D24" i="11" s="1"/>
  <c r="G21" i="11"/>
  <c r="F21" i="11"/>
  <c r="E21" i="11"/>
  <c r="D21" i="11"/>
  <c r="C25" i="11"/>
  <c r="C24" i="11"/>
  <c r="C23" i="11"/>
  <c r="C22" i="11"/>
  <c r="C21" i="11"/>
  <c r="G19" i="11"/>
  <c r="F19" i="11"/>
  <c r="E19" i="11"/>
  <c r="D19" i="11"/>
  <c r="G18" i="11"/>
  <c r="F18" i="11"/>
  <c r="E18" i="11"/>
  <c r="D18" i="11"/>
  <c r="L17" i="11"/>
  <c r="K17" i="11"/>
  <c r="J17" i="11"/>
  <c r="I17" i="11"/>
  <c r="H17" i="11"/>
  <c r="G17" i="11"/>
  <c r="F17" i="11"/>
  <c r="E17" i="11"/>
  <c r="D17" i="11"/>
  <c r="C19" i="11"/>
  <c r="C18" i="11"/>
  <c r="C17" i="11"/>
  <c r="G15" i="11"/>
  <c r="F15" i="11"/>
  <c r="E15" i="11"/>
  <c r="D15" i="11"/>
  <c r="G14" i="11"/>
  <c r="F14" i="11"/>
  <c r="E14" i="11"/>
  <c r="D14" i="11"/>
  <c r="G13" i="11"/>
  <c r="F13" i="11"/>
  <c r="E13" i="11"/>
  <c r="D13" i="11"/>
  <c r="G12" i="11"/>
  <c r="F12" i="11"/>
  <c r="E12" i="11"/>
  <c r="D12" i="11"/>
  <c r="C15" i="11"/>
  <c r="C14" i="11"/>
  <c r="C13" i="11"/>
  <c r="C12" i="11"/>
  <c r="G11" i="11"/>
  <c r="F11" i="11"/>
  <c r="E11" i="11"/>
  <c r="D11" i="11"/>
  <c r="C11" i="11"/>
  <c r="O5" i="11"/>
  <c r="N5" i="11"/>
  <c r="G9" i="11"/>
  <c r="F9" i="11"/>
  <c r="E9" i="11"/>
  <c r="D9" i="11"/>
  <c r="G8" i="11"/>
  <c r="F8" i="11"/>
  <c r="E8" i="11"/>
  <c r="D8" i="11"/>
  <c r="G7" i="11"/>
  <c r="F7" i="11"/>
  <c r="E7" i="11"/>
  <c r="D7" i="11"/>
  <c r="G6" i="11"/>
  <c r="F6" i="11"/>
  <c r="E6" i="11"/>
  <c r="D6" i="11"/>
  <c r="L5" i="11"/>
  <c r="K5" i="11"/>
  <c r="J5" i="11"/>
  <c r="I5" i="11"/>
  <c r="H5" i="11"/>
  <c r="G5" i="11"/>
  <c r="F5" i="11"/>
  <c r="E5" i="11"/>
  <c r="D5" i="11"/>
  <c r="G103" i="12"/>
  <c r="F103" i="12"/>
  <c r="E103" i="12"/>
  <c r="D103" i="12"/>
  <c r="C103" i="12"/>
  <c r="H100" i="12"/>
  <c r="G100" i="12"/>
  <c r="F100" i="12"/>
  <c r="E100" i="12"/>
  <c r="G101" i="12"/>
  <c r="F101" i="12"/>
  <c r="E101" i="12"/>
  <c r="D101" i="12"/>
  <c r="D100" i="12"/>
  <c r="C101" i="12"/>
  <c r="C100" i="12"/>
  <c r="C16" i="16"/>
  <c r="H39" i="12"/>
  <c r="L39" i="12"/>
  <c r="K39" i="12"/>
  <c r="J39" i="12"/>
  <c r="I39" i="12"/>
  <c r="G32" i="15"/>
  <c r="F32" i="15"/>
  <c r="E32" i="15"/>
  <c r="D32" i="15"/>
  <c r="C32" i="15"/>
  <c r="L96" i="12"/>
  <c r="K96" i="12"/>
  <c r="J96" i="12"/>
  <c r="I96" i="12"/>
  <c r="H96" i="12"/>
  <c r="L50" i="12"/>
  <c r="K50" i="12"/>
  <c r="J50" i="12"/>
  <c r="I50" i="12"/>
  <c r="H50" i="12"/>
  <c r="G31" i="15"/>
  <c r="F31" i="15"/>
  <c r="E31" i="15"/>
  <c r="D31" i="15"/>
  <c r="C31" i="15"/>
  <c r="E63" i="12"/>
  <c r="L90" i="12"/>
  <c r="K90" i="12"/>
  <c r="J90" i="12"/>
  <c r="I90" i="12"/>
  <c r="L89" i="12"/>
  <c r="K89" i="12"/>
  <c r="J89" i="12"/>
  <c r="I89" i="12"/>
  <c r="L86" i="8"/>
  <c r="K86" i="8"/>
  <c r="J86" i="8"/>
  <c r="I86" i="8"/>
  <c r="H86" i="8"/>
  <c r="G86" i="8"/>
  <c r="F86" i="8"/>
  <c r="E86" i="8"/>
  <c r="D86" i="8"/>
  <c r="C86" i="8"/>
  <c r="L107" i="8"/>
  <c r="K107" i="8"/>
  <c r="J107" i="8"/>
  <c r="I107" i="8"/>
  <c r="H107" i="8"/>
  <c r="G107" i="8"/>
  <c r="F107" i="8"/>
  <c r="E107" i="8"/>
  <c r="D107" i="8"/>
  <c r="C107" i="8"/>
  <c r="L106" i="8"/>
  <c r="K106" i="8"/>
  <c r="J106" i="8"/>
  <c r="I106" i="8"/>
  <c r="H106" i="8"/>
  <c r="G106" i="8"/>
  <c r="F106" i="8"/>
  <c r="E106" i="8"/>
  <c r="D106" i="8"/>
  <c r="C106" i="8"/>
  <c r="L105" i="8"/>
  <c r="K105" i="8"/>
  <c r="J105" i="8"/>
  <c r="I105" i="8"/>
  <c r="H105" i="8"/>
  <c r="G105" i="8"/>
  <c r="F105" i="8"/>
  <c r="E105" i="8"/>
  <c r="D105" i="8"/>
  <c r="C105" i="8"/>
  <c r="L104" i="8"/>
  <c r="K104" i="8"/>
  <c r="J104" i="8"/>
  <c r="I104" i="8"/>
  <c r="H104" i="8"/>
  <c r="G104" i="8"/>
  <c r="F104" i="8"/>
  <c r="E104" i="8"/>
  <c r="D104" i="8"/>
  <c r="C104" i="8"/>
  <c r="L103" i="8"/>
  <c r="K103" i="8"/>
  <c r="J103" i="8"/>
  <c r="I103" i="8"/>
  <c r="H103" i="8"/>
  <c r="G103" i="8"/>
  <c r="F103" i="8"/>
  <c r="E103" i="8"/>
  <c r="D103" i="8"/>
  <c r="C103" i="8"/>
  <c r="L102" i="8"/>
  <c r="K102" i="8"/>
  <c r="J102" i="8"/>
  <c r="I102" i="8"/>
  <c r="H102" i="8"/>
  <c r="G102" i="8"/>
  <c r="F102" i="8"/>
  <c r="E102" i="8"/>
  <c r="D102" i="8"/>
  <c r="C102" i="8"/>
  <c r="L98" i="8"/>
  <c r="K98" i="8"/>
  <c r="J98" i="8"/>
  <c r="I98" i="8"/>
  <c r="H98" i="8"/>
  <c r="G98" i="8"/>
  <c r="F98" i="8"/>
  <c r="E98" i="8"/>
  <c r="D98" i="8"/>
  <c r="C98" i="8"/>
  <c r="L97" i="8"/>
  <c r="K97" i="8"/>
  <c r="J97" i="8"/>
  <c r="I97" i="8"/>
  <c r="H97" i="8"/>
  <c r="G97" i="8"/>
  <c r="F97" i="8"/>
  <c r="E97" i="8"/>
  <c r="D97" i="8"/>
  <c r="C97" i="8"/>
  <c r="L96" i="8"/>
  <c r="K96" i="8"/>
  <c r="J96" i="8"/>
  <c r="I96" i="8"/>
  <c r="H96" i="8"/>
  <c r="G96" i="8"/>
  <c r="F96" i="8"/>
  <c r="E96" i="8"/>
  <c r="D96" i="8"/>
  <c r="C96" i="8"/>
  <c r="L95" i="8"/>
  <c r="K95" i="8"/>
  <c r="J95" i="8"/>
  <c r="I95" i="8"/>
  <c r="H95" i="8"/>
  <c r="G95" i="8"/>
  <c r="F95" i="8"/>
  <c r="E95" i="8"/>
  <c r="D95" i="8"/>
  <c r="C95" i="8"/>
  <c r="L94" i="8"/>
  <c r="K94" i="8"/>
  <c r="J94" i="8"/>
  <c r="I94" i="8"/>
  <c r="H94" i="8"/>
  <c r="G94" i="8"/>
  <c r="F94" i="8"/>
  <c r="E94" i="8"/>
  <c r="D94" i="8"/>
  <c r="C94" i="8"/>
  <c r="L93" i="8"/>
  <c r="K93" i="8"/>
  <c r="J93" i="8"/>
  <c r="I93" i="8"/>
  <c r="H93" i="8"/>
  <c r="G93" i="8"/>
  <c r="F93" i="8"/>
  <c r="E93" i="8"/>
  <c r="D93" i="8"/>
  <c r="C93" i="8"/>
  <c r="L92" i="8"/>
  <c r="K92" i="8"/>
  <c r="J92" i="8"/>
  <c r="I92" i="8"/>
  <c r="H92" i="8"/>
  <c r="G92" i="8"/>
  <c r="F92" i="8"/>
  <c r="E92" i="8"/>
  <c r="D92" i="8"/>
  <c r="C92" i="8"/>
  <c r="L91" i="8"/>
  <c r="K91" i="8"/>
  <c r="J91" i="8"/>
  <c r="I91" i="8"/>
  <c r="H91" i="8"/>
  <c r="G91" i="8"/>
  <c r="F91" i="8"/>
  <c r="E91" i="8"/>
  <c r="D91" i="8"/>
  <c r="C91" i="8"/>
  <c r="L90" i="8"/>
  <c r="K90" i="8"/>
  <c r="J90" i="8"/>
  <c r="I90" i="8"/>
  <c r="H90" i="8"/>
  <c r="G90" i="8"/>
  <c r="F90" i="8"/>
  <c r="E90" i="8"/>
  <c r="D90" i="8"/>
  <c r="C90" i="8"/>
  <c r="L89" i="8"/>
  <c r="K89" i="8"/>
  <c r="J89" i="8"/>
  <c r="I89" i="8"/>
  <c r="H89" i="8"/>
  <c r="G89" i="8"/>
  <c r="F89" i="8"/>
  <c r="E89" i="8"/>
  <c r="D89" i="8"/>
  <c r="C89" i="8"/>
  <c r="L85" i="8"/>
  <c r="K85" i="8"/>
  <c r="J85" i="8"/>
  <c r="I85" i="8"/>
  <c r="H85" i="8"/>
  <c r="G85" i="8"/>
  <c r="F85" i="8"/>
  <c r="E85" i="8"/>
  <c r="D85" i="8"/>
  <c r="C85" i="8"/>
  <c r="L84" i="8"/>
  <c r="K84" i="8"/>
  <c r="J84" i="8"/>
  <c r="I84" i="8"/>
  <c r="H84" i="8"/>
  <c r="G84" i="8"/>
  <c r="F84" i="8"/>
  <c r="E84" i="8"/>
  <c r="D84" i="8"/>
  <c r="C84" i="8"/>
  <c r="L83" i="8"/>
  <c r="K83" i="8"/>
  <c r="J83" i="8"/>
  <c r="I83" i="8"/>
  <c r="H83" i="8"/>
  <c r="G83" i="8"/>
  <c r="F83" i="8"/>
  <c r="E83" i="8"/>
  <c r="D83" i="8"/>
  <c r="C83" i="8"/>
  <c r="L82" i="8"/>
  <c r="K82" i="8"/>
  <c r="J82" i="8"/>
  <c r="I82" i="8"/>
  <c r="H82" i="8"/>
  <c r="G82" i="8"/>
  <c r="F82" i="8"/>
  <c r="E82" i="8"/>
  <c r="D82" i="8"/>
  <c r="C82" i="8"/>
  <c r="L81" i="8"/>
  <c r="K81" i="8"/>
  <c r="J81" i="8"/>
  <c r="I81" i="8"/>
  <c r="H81" i="8"/>
  <c r="G81" i="8"/>
  <c r="F81" i="8"/>
  <c r="E81" i="8"/>
  <c r="D81" i="8"/>
  <c r="C81" i="8"/>
  <c r="L80" i="8"/>
  <c r="K80" i="8"/>
  <c r="J80" i="8"/>
  <c r="I80" i="8"/>
  <c r="H80" i="8"/>
  <c r="G80" i="8"/>
  <c r="F80" i="8"/>
  <c r="E80" i="8"/>
  <c r="D80" i="8"/>
  <c r="C80" i="8"/>
  <c r="L79" i="8"/>
  <c r="K79" i="8"/>
  <c r="J79" i="8"/>
  <c r="I79" i="8"/>
  <c r="H79" i="8"/>
  <c r="G79" i="8"/>
  <c r="F79" i="8"/>
  <c r="E79" i="8"/>
  <c r="D79" i="8"/>
  <c r="C79" i="8"/>
  <c r="L78" i="8"/>
  <c r="K78" i="8"/>
  <c r="J78" i="8"/>
  <c r="I78" i="8"/>
  <c r="H78" i="8"/>
  <c r="G78" i="8"/>
  <c r="F78" i="8"/>
  <c r="E78" i="8"/>
  <c r="D78" i="8"/>
  <c r="C78" i="8"/>
  <c r="L77" i="8"/>
  <c r="K77" i="8"/>
  <c r="J77" i="8"/>
  <c r="I77" i="8"/>
  <c r="H77" i="8"/>
  <c r="G77" i="8"/>
  <c r="F77" i="8"/>
  <c r="E77" i="8"/>
  <c r="D77" i="8"/>
  <c r="C77" i="8"/>
  <c r="C6" i="17"/>
  <c r="L12" i="16"/>
  <c r="K12" i="16"/>
  <c r="J12" i="16"/>
  <c r="I12" i="16"/>
  <c r="H12" i="16"/>
  <c r="C6" i="16"/>
  <c r="B2" i="16"/>
  <c r="G3" i="16"/>
  <c r="H3" i="16" s="1"/>
  <c r="I3" i="16" s="1"/>
  <c r="J3" i="16" s="1"/>
  <c r="K3" i="16" s="1"/>
  <c r="L3" i="16" s="1"/>
  <c r="F3" i="16"/>
  <c r="E3" i="16"/>
  <c r="D3" i="16"/>
  <c r="C3" i="16"/>
  <c r="G57" i="12"/>
  <c r="G14" i="18" s="1"/>
  <c r="F57" i="12"/>
  <c r="F14" i="18" s="1"/>
  <c r="E57" i="12"/>
  <c r="E14" i="18" s="1"/>
  <c r="D57" i="12"/>
  <c r="D14" i="18" s="1"/>
  <c r="C57" i="12"/>
  <c r="C14" i="18" s="1"/>
  <c r="G56" i="12"/>
  <c r="G13" i="18" s="1"/>
  <c r="F56" i="12"/>
  <c r="F13" i="18" s="1"/>
  <c r="E56" i="12"/>
  <c r="E13" i="18" s="1"/>
  <c r="D56" i="12"/>
  <c r="D13" i="18" s="1"/>
  <c r="C56" i="12"/>
  <c r="C13" i="18" s="1"/>
  <c r="G55" i="12"/>
  <c r="G12" i="18" s="1"/>
  <c r="F55" i="12"/>
  <c r="F12" i="18" s="1"/>
  <c r="E55" i="12"/>
  <c r="E12" i="18" s="1"/>
  <c r="D55" i="12"/>
  <c r="D12" i="18" s="1"/>
  <c r="C55" i="12"/>
  <c r="C12" i="18" s="1"/>
  <c r="G54" i="12"/>
  <c r="H54" i="12" s="1"/>
  <c r="I54" i="12" s="1"/>
  <c r="J54" i="12" s="1"/>
  <c r="K54" i="12" s="1"/>
  <c r="L54" i="12" s="1"/>
  <c r="F54" i="12"/>
  <c r="E54" i="12"/>
  <c r="D54" i="12"/>
  <c r="C54" i="12"/>
  <c r="L57" i="8"/>
  <c r="K57" i="8"/>
  <c r="J57" i="8"/>
  <c r="I57" i="8"/>
  <c r="H57" i="8"/>
  <c r="G57" i="8"/>
  <c r="F57" i="8"/>
  <c r="E57" i="8"/>
  <c r="D57" i="8"/>
  <c r="C57" i="8"/>
  <c r="L56" i="8"/>
  <c r="K56" i="8"/>
  <c r="J56" i="8"/>
  <c r="I56" i="8"/>
  <c r="H56" i="8"/>
  <c r="G56" i="8"/>
  <c r="F56" i="8"/>
  <c r="E56" i="8"/>
  <c r="D56" i="8"/>
  <c r="C56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H62" i="12"/>
  <c r="B2" i="18"/>
  <c r="C17" i="17"/>
  <c r="L13" i="17"/>
  <c r="K13" i="17"/>
  <c r="J13" i="17"/>
  <c r="I13" i="17"/>
  <c r="H13" i="17"/>
  <c r="L12" i="17"/>
  <c r="K12" i="17"/>
  <c r="J12" i="17"/>
  <c r="I12" i="17"/>
  <c r="H12" i="17"/>
  <c r="G8" i="17"/>
  <c r="F8" i="17"/>
  <c r="E8" i="17"/>
  <c r="D8" i="17"/>
  <c r="C8" i="17"/>
  <c r="B2" i="17"/>
  <c r="L62" i="12"/>
  <c r="K62" i="12"/>
  <c r="J62" i="12"/>
  <c r="I62" i="12"/>
  <c r="L61" i="12"/>
  <c r="K61" i="12"/>
  <c r="J61" i="12"/>
  <c r="I61" i="12"/>
  <c r="H61" i="12"/>
  <c r="H45" i="12"/>
  <c r="L45" i="12"/>
  <c r="K45" i="12"/>
  <c r="J45" i="12"/>
  <c r="I45" i="12"/>
  <c r="L34" i="12"/>
  <c r="K34" i="12"/>
  <c r="J34" i="12"/>
  <c r="I34" i="12"/>
  <c r="H34" i="12"/>
  <c r="L22" i="12"/>
  <c r="K22" i="12"/>
  <c r="J22" i="12"/>
  <c r="I22" i="12"/>
  <c r="H22" i="12"/>
  <c r="L16" i="12"/>
  <c r="K16" i="12"/>
  <c r="J16" i="12"/>
  <c r="I16" i="12"/>
  <c r="H16" i="12"/>
  <c r="L10" i="12"/>
  <c r="K10" i="12"/>
  <c r="J10" i="12"/>
  <c r="I10" i="12"/>
  <c r="H10" i="12"/>
  <c r="L7" i="12"/>
  <c r="K7" i="12"/>
  <c r="J7" i="12"/>
  <c r="I7" i="12"/>
  <c r="H7" i="12"/>
  <c r="B2" i="12"/>
  <c r="C63" i="8"/>
  <c r="G9" i="15"/>
  <c r="F9" i="15"/>
  <c r="E9" i="15"/>
  <c r="D9" i="15"/>
  <c r="C9" i="15"/>
  <c r="G3" i="15"/>
  <c r="F3" i="15"/>
  <c r="E3" i="15"/>
  <c r="D3" i="15"/>
  <c r="C3" i="15"/>
  <c r="B2" i="15"/>
  <c r="L3" i="8"/>
  <c r="G3" i="18" s="1"/>
  <c r="H3" i="18" s="1"/>
  <c r="I3" i="18" s="1"/>
  <c r="J3" i="18" s="1"/>
  <c r="K3" i="18" s="1"/>
  <c r="L3" i="18" s="1"/>
  <c r="K3" i="8"/>
  <c r="J3" i="8"/>
  <c r="E3" i="12" s="1"/>
  <c r="I3" i="8"/>
  <c r="H3" i="8"/>
  <c r="C3" i="18" s="1"/>
  <c r="G3" i="8"/>
  <c r="F3" i="8"/>
  <c r="E3" i="8"/>
  <c r="D3" i="8"/>
  <c r="C3" i="8"/>
  <c r="B2" i="8"/>
  <c r="G36" i="11" l="1"/>
  <c r="D36" i="11"/>
  <c r="E15" i="18"/>
  <c r="F15" i="18"/>
  <c r="D15" i="18"/>
  <c r="C15" i="18"/>
  <c r="G15" i="18"/>
  <c r="F3" i="18"/>
  <c r="F3" i="17"/>
  <c r="F3" i="12"/>
  <c r="D3" i="18"/>
  <c r="D3" i="17"/>
  <c r="C3" i="12"/>
  <c r="G3" i="12"/>
  <c r="H3" i="12" s="1"/>
  <c r="I3" i="12" s="1"/>
  <c r="J3" i="12" s="1"/>
  <c r="K3" i="12" s="1"/>
  <c r="L3" i="12" s="1"/>
  <c r="C3" i="17"/>
  <c r="E3" i="18"/>
  <c r="E3" i="17"/>
  <c r="D3" i="12"/>
  <c r="G3" i="17"/>
  <c r="H3" i="17" s="1"/>
  <c r="I3" i="17" s="1"/>
  <c r="J3" i="17" s="1"/>
  <c r="K3" i="17" s="1"/>
  <c r="L3" i="17" s="1"/>
  <c r="B2" i="11" l="1"/>
  <c r="G108" i="8" l="1"/>
  <c r="F108" i="8"/>
  <c r="C108" i="8"/>
  <c r="G99" i="8"/>
  <c r="F99" i="8"/>
  <c r="C99" i="8"/>
  <c r="L63" i="8"/>
  <c r="G63" i="12" s="1"/>
  <c r="G8" i="18" s="1"/>
  <c r="K63" i="8"/>
  <c r="F63" i="12" s="1"/>
  <c r="F8" i="18" s="1"/>
  <c r="J63" i="8"/>
  <c r="E8" i="18" s="1"/>
  <c r="I63" i="8"/>
  <c r="D63" i="12" s="1"/>
  <c r="D8" i="18" s="1"/>
  <c r="H63" i="8"/>
  <c r="C63" i="12" s="1"/>
  <c r="C8" i="18" s="1"/>
  <c r="G63" i="8"/>
  <c r="F63" i="8"/>
  <c r="E63" i="8"/>
  <c r="D63" i="8"/>
  <c r="L68" i="8"/>
  <c r="G68" i="12" s="1"/>
  <c r="K68" i="8"/>
  <c r="F68" i="12" s="1"/>
  <c r="J68" i="8"/>
  <c r="E68" i="12" s="1"/>
  <c r="I68" i="8"/>
  <c r="D68" i="12" s="1"/>
  <c r="H68" i="8"/>
  <c r="C68" i="12" s="1"/>
  <c r="G68" i="8"/>
  <c r="F68" i="8"/>
  <c r="E68" i="8"/>
  <c r="D68" i="8"/>
  <c r="C68" i="8"/>
  <c r="L67" i="8"/>
  <c r="G67" i="12" s="1"/>
  <c r="G7" i="18" s="1"/>
  <c r="K67" i="8"/>
  <c r="F67" i="12" s="1"/>
  <c r="F7" i="18" s="1"/>
  <c r="J67" i="8"/>
  <c r="I67" i="8"/>
  <c r="D67" i="12" s="1"/>
  <c r="D7" i="18" s="1"/>
  <c r="H67" i="8"/>
  <c r="C67" i="12" s="1"/>
  <c r="C7" i="18" s="1"/>
  <c r="G67" i="8"/>
  <c r="F67" i="8"/>
  <c r="E67" i="8"/>
  <c r="D67" i="8"/>
  <c r="C67" i="8"/>
  <c r="L66" i="8"/>
  <c r="K66" i="8"/>
  <c r="F66" i="12" s="1"/>
  <c r="J66" i="8"/>
  <c r="E66" i="12" s="1"/>
  <c r="I66" i="8"/>
  <c r="H66" i="8"/>
  <c r="G66" i="8"/>
  <c r="F66" i="8"/>
  <c r="E66" i="8"/>
  <c r="D66" i="8"/>
  <c r="C66" i="8"/>
  <c r="L62" i="8"/>
  <c r="G62" i="12" s="1"/>
  <c r="G13" i="17" s="1"/>
  <c r="H90" i="12" s="1"/>
  <c r="K62" i="8"/>
  <c r="F62" i="12" s="1"/>
  <c r="F13" i="17" s="1"/>
  <c r="J62" i="8"/>
  <c r="E62" i="12" s="1"/>
  <c r="E13" i="17" s="1"/>
  <c r="I62" i="8"/>
  <c r="D62" i="12" s="1"/>
  <c r="D13" i="17" s="1"/>
  <c r="H62" i="8"/>
  <c r="C62" i="12" s="1"/>
  <c r="C13" i="17" s="1"/>
  <c r="G62" i="8"/>
  <c r="F62" i="8"/>
  <c r="E62" i="8"/>
  <c r="D62" i="8"/>
  <c r="C62" i="8"/>
  <c r="L61" i="8"/>
  <c r="G61" i="12" s="1"/>
  <c r="G12" i="17" s="1"/>
  <c r="H89" i="12" s="1"/>
  <c r="K61" i="8"/>
  <c r="J61" i="8"/>
  <c r="E61" i="12" s="1"/>
  <c r="E12" i="17" s="1"/>
  <c r="I61" i="8"/>
  <c r="D61" i="12" s="1"/>
  <c r="D12" i="17" s="1"/>
  <c r="H61" i="8"/>
  <c r="C61" i="12" s="1"/>
  <c r="C12" i="17" s="1"/>
  <c r="G61" i="8"/>
  <c r="F61" i="8"/>
  <c r="E61" i="8"/>
  <c r="D61" i="8"/>
  <c r="C61" i="8"/>
  <c r="L60" i="8"/>
  <c r="K60" i="8"/>
  <c r="F60" i="12" s="1"/>
  <c r="F9" i="17" s="1"/>
  <c r="G6" i="17" s="1"/>
  <c r="J60" i="8"/>
  <c r="E60" i="12" s="1"/>
  <c r="E9" i="17" s="1"/>
  <c r="F6" i="17" s="1"/>
  <c r="I60" i="8"/>
  <c r="D60" i="12" s="1"/>
  <c r="D9" i="17" s="1"/>
  <c r="H60" i="8"/>
  <c r="G60" i="8"/>
  <c r="F60" i="8"/>
  <c r="E60" i="8"/>
  <c r="D60" i="8"/>
  <c r="C60" i="8"/>
  <c r="L52" i="8"/>
  <c r="G52" i="12" s="1"/>
  <c r="G8" i="16" s="1"/>
  <c r="K52" i="8"/>
  <c r="F52" i="12" s="1"/>
  <c r="F8" i="16" s="1"/>
  <c r="J52" i="8"/>
  <c r="E52" i="12" s="1"/>
  <c r="E8" i="16" s="1"/>
  <c r="I52" i="8"/>
  <c r="D52" i="12" s="1"/>
  <c r="D8" i="16" s="1"/>
  <c r="H52" i="8"/>
  <c r="C52" i="12" s="1"/>
  <c r="C8" i="16" s="1"/>
  <c r="G52" i="8"/>
  <c r="F52" i="8"/>
  <c r="E52" i="8"/>
  <c r="D52" i="8"/>
  <c r="C52" i="8"/>
  <c r="L51" i="8"/>
  <c r="K51" i="8"/>
  <c r="F51" i="12" s="1"/>
  <c r="J51" i="8"/>
  <c r="E51" i="12" s="1"/>
  <c r="I51" i="8"/>
  <c r="D51" i="12" s="1"/>
  <c r="H51" i="8"/>
  <c r="G51" i="8"/>
  <c r="F51" i="8"/>
  <c r="E51" i="8"/>
  <c r="D51" i="8"/>
  <c r="C51" i="8"/>
  <c r="L50" i="8"/>
  <c r="G50" i="12" s="1"/>
  <c r="K50" i="8"/>
  <c r="F50" i="12" s="1"/>
  <c r="J50" i="8"/>
  <c r="I50" i="8"/>
  <c r="H50" i="8"/>
  <c r="C50" i="12" s="1"/>
  <c r="G50" i="8"/>
  <c r="F50" i="8"/>
  <c r="E50" i="8"/>
  <c r="D50" i="8"/>
  <c r="C50" i="8"/>
  <c r="L39" i="8"/>
  <c r="L33" i="8"/>
  <c r="G33" i="12" s="1"/>
  <c r="L27" i="8"/>
  <c r="G27" i="12" s="1"/>
  <c r="L24" i="8"/>
  <c r="L21" i="8"/>
  <c r="L15" i="8"/>
  <c r="L9" i="8"/>
  <c r="L6" i="8"/>
  <c r="C39" i="8"/>
  <c r="C44" i="8" s="1"/>
  <c r="M39" i="8"/>
  <c r="M44" i="8" s="1"/>
  <c r="K39" i="8"/>
  <c r="J39" i="8"/>
  <c r="I39" i="8"/>
  <c r="H39" i="8"/>
  <c r="G39" i="8"/>
  <c r="G44" i="8" s="1"/>
  <c r="F39" i="8"/>
  <c r="F44" i="8" s="1"/>
  <c r="E39" i="8"/>
  <c r="E44" i="8" s="1"/>
  <c r="D39" i="8"/>
  <c r="D44" i="8" s="1"/>
  <c r="M33" i="8"/>
  <c r="K33" i="8"/>
  <c r="F33" i="12" s="1"/>
  <c r="J33" i="8"/>
  <c r="E33" i="12" s="1"/>
  <c r="I33" i="8"/>
  <c r="D33" i="12" s="1"/>
  <c r="H33" i="8"/>
  <c r="C33" i="12" s="1"/>
  <c r="G33" i="8"/>
  <c r="F33" i="8"/>
  <c r="E33" i="8"/>
  <c r="D33" i="8"/>
  <c r="C33" i="8"/>
  <c r="M27" i="8"/>
  <c r="K9" i="8"/>
  <c r="J9" i="8"/>
  <c r="I9" i="8"/>
  <c r="H9" i="8"/>
  <c r="G9" i="8"/>
  <c r="F9" i="8"/>
  <c r="E9" i="8"/>
  <c r="D15" i="8"/>
  <c r="C15" i="8"/>
  <c r="K27" i="8"/>
  <c r="F27" i="12" s="1"/>
  <c r="J27" i="8"/>
  <c r="E27" i="12" s="1"/>
  <c r="I27" i="8"/>
  <c r="D27" i="12" s="1"/>
  <c r="H27" i="8"/>
  <c r="C27" i="12" s="1"/>
  <c r="G27" i="8"/>
  <c r="F27" i="8"/>
  <c r="E27" i="8"/>
  <c r="D27" i="8"/>
  <c r="C27" i="8"/>
  <c r="K24" i="8"/>
  <c r="J24" i="8"/>
  <c r="I24" i="8"/>
  <c r="H24" i="8"/>
  <c r="G24" i="8"/>
  <c r="F24" i="8"/>
  <c r="E24" i="8"/>
  <c r="D24" i="8"/>
  <c r="C24" i="8"/>
  <c r="M24" i="8"/>
  <c r="M21" i="8"/>
  <c r="K21" i="8"/>
  <c r="J21" i="8"/>
  <c r="I21" i="8"/>
  <c r="H21" i="8"/>
  <c r="G21" i="8"/>
  <c r="F21" i="8"/>
  <c r="E21" i="8"/>
  <c r="D21" i="8"/>
  <c r="C21" i="8"/>
  <c r="M9" i="8"/>
  <c r="K15" i="8"/>
  <c r="J15" i="8"/>
  <c r="I15" i="8"/>
  <c r="H15" i="8"/>
  <c r="G15" i="8"/>
  <c r="F15" i="8"/>
  <c r="E15" i="8"/>
  <c r="C9" i="8"/>
  <c r="M6" i="8"/>
  <c r="K6" i="8"/>
  <c r="J6" i="8"/>
  <c r="I6" i="8"/>
  <c r="H6" i="8"/>
  <c r="G6" i="8"/>
  <c r="F6" i="8"/>
  <c r="E6" i="8"/>
  <c r="D6" i="8"/>
  <c r="C6" i="8"/>
  <c r="B6" i="6"/>
  <c r="E1" i="6"/>
  <c r="G17" i="17" l="1"/>
  <c r="F6" i="16"/>
  <c r="F11" i="16" s="1"/>
  <c r="E6" i="16"/>
  <c r="E16" i="16" s="1"/>
  <c r="F7" i="16"/>
  <c r="G6" i="16"/>
  <c r="G11" i="16" s="1"/>
  <c r="E6" i="17"/>
  <c r="C7" i="16"/>
  <c r="C11" i="16"/>
  <c r="D6" i="16"/>
  <c r="D11" i="16" s="1"/>
  <c r="H6" i="16"/>
  <c r="G16" i="16"/>
  <c r="G7" i="16"/>
  <c r="F7" i="17"/>
  <c r="F17" i="17"/>
  <c r="D64" i="12"/>
  <c r="F6" i="18"/>
  <c r="F69" i="12"/>
  <c r="E64" i="12"/>
  <c r="F58" i="12"/>
  <c r="E6" i="18"/>
  <c r="E16" i="8"/>
  <c r="E25" i="8"/>
  <c r="C22" i="8"/>
  <c r="G58" i="8"/>
  <c r="E69" i="8"/>
  <c r="G69" i="8"/>
  <c r="D25" i="8"/>
  <c r="D22" i="8"/>
  <c r="M22" i="8"/>
  <c r="D64" i="8"/>
  <c r="G22" i="8"/>
  <c r="M10" i="8"/>
  <c r="F7" i="8"/>
  <c r="E6" i="12"/>
  <c r="J7" i="8"/>
  <c r="D15" i="12"/>
  <c r="I16" i="8"/>
  <c r="F21" i="12"/>
  <c r="K22" i="8"/>
  <c r="F22" i="12" s="1"/>
  <c r="C24" i="12"/>
  <c r="C13" i="16" s="1"/>
  <c r="H25" i="8"/>
  <c r="C25" i="12" s="1"/>
  <c r="E10" i="8"/>
  <c r="D9" i="12"/>
  <c r="D24" i="18" s="1"/>
  <c r="I10" i="8"/>
  <c r="D10" i="12" s="1"/>
  <c r="J44" i="8"/>
  <c r="E39" i="12"/>
  <c r="G6" i="12"/>
  <c r="L7" i="8"/>
  <c r="G24" i="12"/>
  <c r="G13" i="16" s="1"/>
  <c r="L25" i="8"/>
  <c r="G25" i="12" s="1"/>
  <c r="K64" i="8"/>
  <c r="F61" i="12"/>
  <c r="I69" i="8"/>
  <c r="D66" i="12"/>
  <c r="G7" i="8"/>
  <c r="F6" i="12"/>
  <c r="K7" i="8"/>
  <c r="E15" i="12"/>
  <c r="J16" i="8"/>
  <c r="C21" i="12"/>
  <c r="H22" i="8"/>
  <c r="C22" i="12" s="1"/>
  <c r="D24" i="12"/>
  <c r="D13" i="16" s="1"/>
  <c r="I25" i="8"/>
  <c r="D25" i="12" s="1"/>
  <c r="C16" i="8"/>
  <c r="E9" i="12"/>
  <c r="E24" i="18" s="1"/>
  <c r="J10" i="8"/>
  <c r="E10" i="12" s="1"/>
  <c r="G9" i="12"/>
  <c r="G24" i="18" s="1"/>
  <c r="L10" i="8"/>
  <c r="G10" i="12" s="1"/>
  <c r="K58" i="8"/>
  <c r="J64" i="8"/>
  <c r="K69" i="8"/>
  <c r="D7" i="8"/>
  <c r="C6" i="12"/>
  <c r="H7" i="8"/>
  <c r="C35" i="11"/>
  <c r="M16" i="8"/>
  <c r="M7" i="8"/>
  <c r="G16" i="8"/>
  <c r="F15" i="12"/>
  <c r="K16" i="8"/>
  <c r="E22" i="8"/>
  <c r="D21" i="12"/>
  <c r="I22" i="8"/>
  <c r="D22" i="12" s="1"/>
  <c r="M25" i="8"/>
  <c r="F25" i="8"/>
  <c r="E24" i="12"/>
  <c r="E13" i="16" s="1"/>
  <c r="J25" i="8"/>
  <c r="E25" i="12" s="1"/>
  <c r="D16" i="8"/>
  <c r="G10" i="8"/>
  <c r="F9" i="12"/>
  <c r="F24" i="18" s="1"/>
  <c r="K10" i="8"/>
  <c r="F10" i="12" s="1"/>
  <c r="H44" i="8"/>
  <c r="C39" i="12"/>
  <c r="G15" i="12"/>
  <c r="L16" i="8"/>
  <c r="E58" i="8"/>
  <c r="I58" i="8"/>
  <c r="D50" i="12"/>
  <c r="D58" i="12" s="1"/>
  <c r="G64" i="8"/>
  <c r="C69" i="8"/>
  <c r="D99" i="8"/>
  <c r="D108" i="8"/>
  <c r="F16" i="8"/>
  <c r="F10" i="8"/>
  <c r="K44" i="8"/>
  <c r="F39" i="12"/>
  <c r="F64" i="8"/>
  <c r="E7" i="8"/>
  <c r="D6" i="12"/>
  <c r="I7" i="8"/>
  <c r="C10" i="8"/>
  <c r="C15" i="12"/>
  <c r="H16" i="8"/>
  <c r="F22" i="8"/>
  <c r="E21" i="12"/>
  <c r="J22" i="8"/>
  <c r="E22" i="12" s="1"/>
  <c r="C25" i="8"/>
  <c r="G25" i="8"/>
  <c r="F24" i="12"/>
  <c r="F13" i="16" s="1"/>
  <c r="K25" i="8"/>
  <c r="F25" i="12" s="1"/>
  <c r="D10" i="8"/>
  <c r="C9" i="12"/>
  <c r="C24" i="18" s="1"/>
  <c r="C34" i="11"/>
  <c r="H10" i="8"/>
  <c r="C10" i="12" s="1"/>
  <c r="I44" i="8"/>
  <c r="D39" i="12"/>
  <c r="G21" i="12"/>
  <c r="L22" i="8"/>
  <c r="G22" i="12" s="1"/>
  <c r="L44" i="8"/>
  <c r="G39" i="12"/>
  <c r="F58" i="8"/>
  <c r="J58" i="8"/>
  <c r="E50" i="12"/>
  <c r="E58" i="12" s="1"/>
  <c r="D58" i="8"/>
  <c r="H58" i="8"/>
  <c r="C51" i="12"/>
  <c r="C58" i="12" s="1"/>
  <c r="L58" i="8"/>
  <c r="G51" i="12"/>
  <c r="G58" i="12" s="1"/>
  <c r="H64" i="8"/>
  <c r="C60" i="12"/>
  <c r="L64" i="8"/>
  <c r="G60" i="12"/>
  <c r="D69" i="8"/>
  <c r="H69" i="8"/>
  <c r="C66" i="12"/>
  <c r="C69" i="12" s="1"/>
  <c r="L69" i="8"/>
  <c r="G66" i="12"/>
  <c r="F69" i="8"/>
  <c r="F71" i="8" s="1"/>
  <c r="J69" i="8"/>
  <c r="E67" i="12"/>
  <c r="E7" i="18" s="1"/>
  <c r="E99" i="8"/>
  <c r="E108" i="8"/>
  <c r="J99" i="8"/>
  <c r="E91" i="12" s="1"/>
  <c r="K99" i="8"/>
  <c r="F91" i="12" s="1"/>
  <c r="I99" i="8"/>
  <c r="D91" i="12" s="1"/>
  <c r="K108" i="8"/>
  <c r="F97" i="12" s="1"/>
  <c r="H108" i="8"/>
  <c r="C97" i="12" s="1"/>
  <c r="L108" i="8"/>
  <c r="G97" i="12" s="1"/>
  <c r="I108" i="8"/>
  <c r="D97" i="12" s="1"/>
  <c r="H99" i="8"/>
  <c r="C91" i="12" s="1"/>
  <c r="L99" i="8"/>
  <c r="G91" i="12" s="1"/>
  <c r="J108" i="8"/>
  <c r="E97" i="12" s="1"/>
  <c r="C58" i="8"/>
  <c r="E64" i="8"/>
  <c r="I64" i="8"/>
  <c r="C64" i="8"/>
  <c r="J12" i="8"/>
  <c r="L12" i="8"/>
  <c r="H28" i="8"/>
  <c r="F28" i="8"/>
  <c r="J28" i="8"/>
  <c r="C28" i="8"/>
  <c r="G28" i="8"/>
  <c r="K28" i="8"/>
  <c r="D12" i="8"/>
  <c r="M28" i="8"/>
  <c r="L28" i="8"/>
  <c r="E28" i="8"/>
  <c r="I28" i="8"/>
  <c r="D28" i="8"/>
  <c r="F12" i="8"/>
  <c r="F13" i="8" s="1"/>
  <c r="E12" i="8"/>
  <c r="E13" i="8" s="1"/>
  <c r="I12" i="8"/>
  <c r="K12" i="8"/>
  <c r="M12" i="8"/>
  <c r="M13" i="8" s="1"/>
  <c r="C12" i="8"/>
  <c r="G12" i="8"/>
  <c r="G13" i="8" s="1"/>
  <c r="H12" i="8"/>
  <c r="F16" i="17" l="1"/>
  <c r="F12" i="16"/>
  <c r="C12" i="16"/>
  <c r="D7" i="16"/>
  <c r="H8" i="16"/>
  <c r="F16" i="16"/>
  <c r="E7" i="16"/>
  <c r="E11" i="16"/>
  <c r="E12" i="16" s="1"/>
  <c r="F64" i="12"/>
  <c r="F12" i="17"/>
  <c r="G64" i="12"/>
  <c r="G9" i="17"/>
  <c r="E7" i="17"/>
  <c r="E16" i="17" s="1"/>
  <c r="E17" i="17"/>
  <c r="C64" i="12"/>
  <c r="C71" i="12" s="1"/>
  <c r="C9" i="17"/>
  <c r="F9" i="18"/>
  <c r="D12" i="16"/>
  <c r="G12" i="16"/>
  <c r="D16" i="16"/>
  <c r="C110" i="8"/>
  <c r="G6" i="18"/>
  <c r="G18" i="18" s="1"/>
  <c r="G69" i="12"/>
  <c r="D6" i="18"/>
  <c r="D17" i="18" s="1"/>
  <c r="D69" i="12"/>
  <c r="D71" i="12" s="1"/>
  <c r="C6" i="18"/>
  <c r="E69" i="12"/>
  <c r="E71" i="12" s="1"/>
  <c r="F71" i="12"/>
  <c r="F23" i="18"/>
  <c r="E71" i="8"/>
  <c r="F110" i="8"/>
  <c r="D71" i="8"/>
  <c r="E110" i="8"/>
  <c r="D73" i="8"/>
  <c r="C36" i="11"/>
  <c r="D110" i="8"/>
  <c r="E73" i="8"/>
  <c r="H71" i="8"/>
  <c r="D12" i="12"/>
  <c r="I13" i="8"/>
  <c r="D28" i="12"/>
  <c r="D18" i="8"/>
  <c r="D13" i="8"/>
  <c r="E28" i="12"/>
  <c r="E12" i="12"/>
  <c r="J13" i="8"/>
  <c r="G23" i="18"/>
  <c r="C16" i="12"/>
  <c r="G16" i="12"/>
  <c r="N31" i="11"/>
  <c r="O31" i="11"/>
  <c r="F19" i="18"/>
  <c r="D16" i="12"/>
  <c r="D44" i="12"/>
  <c r="F28" i="12"/>
  <c r="G110" i="8"/>
  <c r="E17" i="18"/>
  <c r="L71" i="8"/>
  <c r="E23" i="18"/>
  <c r="F44" i="12"/>
  <c r="F7" i="12"/>
  <c r="N29" i="11"/>
  <c r="O29" i="11"/>
  <c r="C12" i="12"/>
  <c r="H13" i="8"/>
  <c r="F12" i="12"/>
  <c r="K13" i="8"/>
  <c r="G12" i="12"/>
  <c r="L13" i="8"/>
  <c r="N28" i="11"/>
  <c r="O28" i="11"/>
  <c r="C44" i="12"/>
  <c r="O30" i="11"/>
  <c r="N30" i="11"/>
  <c r="C18" i="8"/>
  <c r="C30" i="8" s="1"/>
  <c r="C13" i="8"/>
  <c r="G28" i="12"/>
  <c r="C28" i="12"/>
  <c r="F73" i="8"/>
  <c r="J71" i="8"/>
  <c r="G44" i="12"/>
  <c r="D7" i="12"/>
  <c r="E9" i="18"/>
  <c r="F16" i="12"/>
  <c r="K71" i="8"/>
  <c r="E16" i="12"/>
  <c r="N27" i="11"/>
  <c r="O27" i="11"/>
  <c r="I71" i="8"/>
  <c r="G7" i="12"/>
  <c r="E44" i="12"/>
  <c r="E7" i="12"/>
  <c r="G71" i="8"/>
  <c r="C85" i="12"/>
  <c r="H110" i="8"/>
  <c r="C99" i="12" s="1"/>
  <c r="E85" i="12"/>
  <c r="J110" i="8"/>
  <c r="E99" i="12" s="1"/>
  <c r="F85" i="12"/>
  <c r="K110" i="8"/>
  <c r="F99" i="12" s="1"/>
  <c r="G85" i="12"/>
  <c r="L110" i="8"/>
  <c r="G99" i="12" s="1"/>
  <c r="D85" i="12"/>
  <c r="I110" i="8"/>
  <c r="D99" i="12" s="1"/>
  <c r="C71" i="8"/>
  <c r="L18" i="8"/>
  <c r="L30" i="8" s="1"/>
  <c r="J18" i="8"/>
  <c r="K18" i="8"/>
  <c r="F18" i="8"/>
  <c r="E18" i="8"/>
  <c r="I18" i="8"/>
  <c r="H18" i="8"/>
  <c r="M18" i="8"/>
  <c r="G18" i="8"/>
  <c r="H11" i="16" l="1"/>
  <c r="H13" i="16" s="1"/>
  <c r="H24" i="12" s="1"/>
  <c r="H16" i="16"/>
  <c r="H28" i="21" s="1"/>
  <c r="H25" i="12"/>
  <c r="H14" i="18"/>
  <c r="H13" i="18"/>
  <c r="D23" i="18"/>
  <c r="G71" i="12"/>
  <c r="D6" i="17"/>
  <c r="C16" i="17"/>
  <c r="H6" i="17"/>
  <c r="H8" i="17" s="1"/>
  <c r="G7" i="17"/>
  <c r="G16" i="17" s="1"/>
  <c r="I6" i="16"/>
  <c r="H52" i="12"/>
  <c r="H7" i="16"/>
  <c r="H94" i="12" s="1"/>
  <c r="G9" i="18"/>
  <c r="C23" i="18"/>
  <c r="C9" i="18"/>
  <c r="D9" i="18"/>
  <c r="E18" i="18"/>
  <c r="N17" i="11"/>
  <c r="O38" i="11"/>
  <c r="O18" i="11"/>
  <c r="O9" i="11"/>
  <c r="O40" i="11"/>
  <c r="G30" i="12"/>
  <c r="G19" i="8"/>
  <c r="J73" i="8"/>
  <c r="D30" i="8"/>
  <c r="D19" i="8"/>
  <c r="H73" i="8"/>
  <c r="M30" i="8"/>
  <c r="M19" i="8"/>
  <c r="F19" i="8"/>
  <c r="N40" i="11"/>
  <c r="C19" i="8"/>
  <c r="G13" i="12"/>
  <c r="C13" i="12"/>
  <c r="L73" i="8"/>
  <c r="N9" i="11"/>
  <c r="G73" i="8"/>
  <c r="O34" i="11"/>
  <c r="N34" i="11"/>
  <c r="K73" i="8"/>
  <c r="F18" i="12"/>
  <c r="K19" i="8"/>
  <c r="N35" i="11"/>
  <c r="O35" i="11"/>
  <c r="O17" i="11"/>
  <c r="H7" i="17"/>
  <c r="H21" i="12"/>
  <c r="H15" i="12"/>
  <c r="H9" i="12"/>
  <c r="H63" i="12"/>
  <c r="H81" i="12" s="1"/>
  <c r="H6" i="18"/>
  <c r="I6" i="12"/>
  <c r="G19" i="18"/>
  <c r="I73" i="8"/>
  <c r="N18" i="11"/>
  <c r="E19" i="8"/>
  <c r="G18" i="12"/>
  <c r="L19" i="8"/>
  <c r="N38" i="11"/>
  <c r="F18" i="18"/>
  <c r="E19" i="18"/>
  <c r="C18" i="12"/>
  <c r="H19" i="8"/>
  <c r="D18" i="12"/>
  <c r="I19" i="8"/>
  <c r="C37" i="8"/>
  <c r="J30" i="8"/>
  <c r="J34" i="8" s="1"/>
  <c r="E34" i="12" s="1"/>
  <c r="E18" i="12"/>
  <c r="J19" i="8"/>
  <c r="O33" i="11"/>
  <c r="N33" i="11"/>
  <c r="F13" i="12"/>
  <c r="E13" i="12"/>
  <c r="D13" i="12"/>
  <c r="C73" i="8"/>
  <c r="C34" i="8"/>
  <c r="C31" i="8"/>
  <c r="L36" i="8"/>
  <c r="L31" i="8"/>
  <c r="L34" i="8"/>
  <c r="G34" i="12" s="1"/>
  <c r="E30" i="8"/>
  <c r="C41" i="8"/>
  <c r="C45" i="8" s="1"/>
  <c r="I30" i="8"/>
  <c r="G30" i="8"/>
  <c r="H30" i="8"/>
  <c r="F30" i="8"/>
  <c r="K30" i="8"/>
  <c r="I6" i="21" l="1"/>
  <c r="H88" i="12"/>
  <c r="H91" i="12" s="1"/>
  <c r="H25" i="21"/>
  <c r="H7" i="18"/>
  <c r="H22" i="18" s="1"/>
  <c r="H17" i="21"/>
  <c r="H10" i="19"/>
  <c r="H8" i="19"/>
  <c r="H56" i="12"/>
  <c r="H83" i="12"/>
  <c r="H66" i="12"/>
  <c r="H27" i="11" s="1"/>
  <c r="H33" i="11" s="1"/>
  <c r="H80" i="12"/>
  <c r="H78" i="12"/>
  <c r="H17" i="17"/>
  <c r="H27" i="12"/>
  <c r="H28" i="12" s="1"/>
  <c r="H18" i="11" s="1"/>
  <c r="H79" i="12"/>
  <c r="I8" i="16"/>
  <c r="I11" i="16" s="1"/>
  <c r="I13" i="16" s="1"/>
  <c r="I24" i="12" s="1"/>
  <c r="D17" i="17"/>
  <c r="D7" i="17"/>
  <c r="D16" i="17" s="1"/>
  <c r="H57" i="12"/>
  <c r="H84" i="12"/>
  <c r="H12" i="12"/>
  <c r="H13" i="12" s="1"/>
  <c r="H11" i="11" s="1"/>
  <c r="H12" i="18"/>
  <c r="H82" i="12" s="1"/>
  <c r="I13" i="18"/>
  <c r="I14" i="18"/>
  <c r="O11" i="11"/>
  <c r="N11" i="11"/>
  <c r="N6" i="11"/>
  <c r="C30" i="12"/>
  <c r="O6" i="11"/>
  <c r="D30" i="12"/>
  <c r="G31" i="12"/>
  <c r="O36" i="11"/>
  <c r="N36" i="11"/>
  <c r="D19" i="12"/>
  <c r="F19" i="12"/>
  <c r="O13" i="11"/>
  <c r="N13" i="11"/>
  <c r="D34" i="8"/>
  <c r="D31" i="8"/>
  <c r="D36" i="8"/>
  <c r="E30" i="12"/>
  <c r="F30" i="12"/>
  <c r="J36" i="8"/>
  <c r="G36" i="12"/>
  <c r="E19" i="12"/>
  <c r="H16" i="17"/>
  <c r="H9" i="17"/>
  <c r="N21" i="11"/>
  <c r="H23" i="18"/>
  <c r="O25" i="11"/>
  <c r="J31" i="8"/>
  <c r="C19" i="12"/>
  <c r="G19" i="12"/>
  <c r="J6" i="12"/>
  <c r="I8" i="18"/>
  <c r="I6" i="18"/>
  <c r="I7" i="17"/>
  <c r="I25" i="21" s="1"/>
  <c r="I15" i="12"/>
  <c r="I9" i="12"/>
  <c r="I21" i="12"/>
  <c r="N25" i="11"/>
  <c r="O21" i="11"/>
  <c r="N39" i="11"/>
  <c r="O39" i="11"/>
  <c r="C47" i="8"/>
  <c r="L41" i="8"/>
  <c r="G41" i="12" s="1"/>
  <c r="L37" i="8"/>
  <c r="K36" i="8"/>
  <c r="K31" i="8"/>
  <c r="K34" i="8"/>
  <c r="F34" i="12" s="1"/>
  <c r="F36" i="8"/>
  <c r="F31" i="8"/>
  <c r="F34" i="8"/>
  <c r="G31" i="8"/>
  <c r="G34" i="8"/>
  <c r="G36" i="8"/>
  <c r="E36" i="8"/>
  <c r="E34" i="8"/>
  <c r="E31" i="8"/>
  <c r="M31" i="8"/>
  <c r="M36" i="8"/>
  <c r="M34" i="8"/>
  <c r="I36" i="8"/>
  <c r="I34" i="8"/>
  <c r="D34" i="12" s="1"/>
  <c r="I31" i="8"/>
  <c r="H34" i="8"/>
  <c r="C34" i="12" s="1"/>
  <c r="H36" i="8"/>
  <c r="H31" i="8"/>
  <c r="I7" i="18" l="1"/>
  <c r="I22" i="18" s="1"/>
  <c r="J6" i="21"/>
  <c r="H9" i="18"/>
  <c r="H67" i="12"/>
  <c r="I25" i="12"/>
  <c r="I8" i="19"/>
  <c r="H29" i="11"/>
  <c r="H35" i="11" s="1"/>
  <c r="H36" i="11" s="1"/>
  <c r="H29" i="21" s="1"/>
  <c r="H18" i="18"/>
  <c r="H18" i="12"/>
  <c r="I16" i="17"/>
  <c r="I88" i="12"/>
  <c r="I91" i="12" s="1"/>
  <c r="I57" i="12"/>
  <c r="I84" i="12"/>
  <c r="I56" i="12"/>
  <c r="I83" i="12"/>
  <c r="I66" i="12"/>
  <c r="I27" i="11" s="1"/>
  <c r="I33" i="11" s="1"/>
  <c r="I80" i="12"/>
  <c r="J6" i="16"/>
  <c r="I16" i="16"/>
  <c r="I28" i="21" s="1"/>
  <c r="I7" i="16"/>
  <c r="I94" i="12" s="1"/>
  <c r="I52" i="12"/>
  <c r="I67" i="12"/>
  <c r="I79" i="12"/>
  <c r="I12" i="12"/>
  <c r="I18" i="12" s="1"/>
  <c r="I12" i="18"/>
  <c r="I82" i="12" s="1"/>
  <c r="H55" i="12"/>
  <c r="H28" i="11" s="1"/>
  <c r="H34" i="11" s="1"/>
  <c r="H24" i="18"/>
  <c r="H15" i="18"/>
  <c r="J14" i="18"/>
  <c r="J13" i="18"/>
  <c r="N12" i="11"/>
  <c r="O12" i="11"/>
  <c r="D36" i="12"/>
  <c r="E36" i="12"/>
  <c r="J37" i="8"/>
  <c r="H19" i="18"/>
  <c r="E31" i="12"/>
  <c r="D37" i="8"/>
  <c r="D41" i="8"/>
  <c r="J41" i="8"/>
  <c r="E41" i="12" s="1"/>
  <c r="I9" i="18"/>
  <c r="I23" i="18"/>
  <c r="K6" i="12"/>
  <c r="J8" i="18"/>
  <c r="J6" i="18"/>
  <c r="J7" i="17"/>
  <c r="J25" i="21" s="1"/>
  <c r="J21" i="12"/>
  <c r="J9" i="12"/>
  <c r="J15" i="12"/>
  <c r="C36" i="12"/>
  <c r="G37" i="12"/>
  <c r="D31" i="12"/>
  <c r="F31" i="12"/>
  <c r="C31" i="12"/>
  <c r="F36" i="12"/>
  <c r="I6" i="17"/>
  <c r="H60" i="12"/>
  <c r="O7" i="11"/>
  <c r="N7" i="11"/>
  <c r="N19" i="11"/>
  <c r="O19" i="11"/>
  <c r="L45" i="8"/>
  <c r="J45" i="8"/>
  <c r="H41" i="8"/>
  <c r="C41" i="12" s="1"/>
  <c r="H37" i="8"/>
  <c r="F37" i="8"/>
  <c r="F41" i="8"/>
  <c r="I37" i="8"/>
  <c r="I41" i="8"/>
  <c r="D41" i="12" s="1"/>
  <c r="M37" i="8"/>
  <c r="M41" i="8"/>
  <c r="E37" i="8"/>
  <c r="E41" i="8"/>
  <c r="G37" i="8"/>
  <c r="G41" i="8"/>
  <c r="K37" i="8"/>
  <c r="K41" i="8"/>
  <c r="K6" i="21" l="1"/>
  <c r="I19" i="12"/>
  <c r="I8" i="21"/>
  <c r="H64" i="12"/>
  <c r="H30" i="11"/>
  <c r="H7" i="19"/>
  <c r="J7" i="18"/>
  <c r="J22" i="18" s="1"/>
  <c r="H19" i="12"/>
  <c r="H6" i="11"/>
  <c r="H8" i="21"/>
  <c r="H13" i="11"/>
  <c r="H19" i="11" s="1"/>
  <c r="I6" i="11"/>
  <c r="H25" i="11"/>
  <c r="I17" i="21"/>
  <c r="I10" i="19"/>
  <c r="I29" i="11"/>
  <c r="I35" i="11" s="1"/>
  <c r="I18" i="18"/>
  <c r="H30" i="12"/>
  <c r="H7" i="11" s="1"/>
  <c r="I13" i="12"/>
  <c r="I11" i="11" s="1"/>
  <c r="J16" i="17"/>
  <c r="J88" i="12"/>
  <c r="J91" i="12" s="1"/>
  <c r="J66" i="12"/>
  <c r="J27" i="11" s="1"/>
  <c r="J33" i="11" s="1"/>
  <c r="J80" i="12"/>
  <c r="J56" i="12"/>
  <c r="J83" i="12"/>
  <c r="J8" i="16"/>
  <c r="J11" i="16" s="1"/>
  <c r="J13" i="16" s="1"/>
  <c r="J24" i="12" s="1"/>
  <c r="J57" i="12"/>
  <c r="J84" i="12"/>
  <c r="J12" i="12"/>
  <c r="J13" i="12" s="1"/>
  <c r="J11" i="11" s="1"/>
  <c r="J12" i="18"/>
  <c r="J82" i="12" s="1"/>
  <c r="I55" i="12"/>
  <c r="I28" i="11" s="1"/>
  <c r="I34" i="11" s="1"/>
  <c r="I15" i="18"/>
  <c r="I24" i="18"/>
  <c r="K14" i="18"/>
  <c r="K13" i="18"/>
  <c r="O14" i="11"/>
  <c r="N23" i="11"/>
  <c r="O23" i="11"/>
  <c r="L47" i="8"/>
  <c r="G45" i="12"/>
  <c r="J47" i="8"/>
  <c r="E45" i="12"/>
  <c r="L6" i="12"/>
  <c r="K6" i="18"/>
  <c r="K80" i="12" s="1"/>
  <c r="K7" i="17"/>
  <c r="K25" i="21" s="1"/>
  <c r="K15" i="12"/>
  <c r="K9" i="12"/>
  <c r="K8" i="18"/>
  <c r="K21" i="12"/>
  <c r="D42" i="8"/>
  <c r="D45" i="8"/>
  <c r="D47" i="8" s="1"/>
  <c r="N14" i="11"/>
  <c r="L42" i="8"/>
  <c r="G42" i="12" s="1"/>
  <c r="F41" i="12"/>
  <c r="C37" i="12"/>
  <c r="F37" i="12"/>
  <c r="D37" i="12"/>
  <c r="I8" i="17"/>
  <c r="J23" i="18"/>
  <c r="J9" i="18"/>
  <c r="N8" i="11"/>
  <c r="O8" i="11"/>
  <c r="E37" i="12"/>
  <c r="I45" i="8"/>
  <c r="G42" i="8"/>
  <c r="G45" i="8"/>
  <c r="G47" i="8" s="1"/>
  <c r="M45" i="8"/>
  <c r="M47" i="8" s="1"/>
  <c r="H45" i="8"/>
  <c r="F42" i="8"/>
  <c r="F45" i="8"/>
  <c r="F47" i="8" s="1"/>
  <c r="K42" i="8"/>
  <c r="F42" i="12" s="1"/>
  <c r="K45" i="8"/>
  <c r="E42" i="8"/>
  <c r="E45" i="8"/>
  <c r="E47" i="8" s="1"/>
  <c r="J42" i="8"/>
  <c r="E42" i="12" s="1"/>
  <c r="H42" i="8"/>
  <c r="M42" i="8"/>
  <c r="I42" i="8"/>
  <c r="D42" i="12" s="1"/>
  <c r="I12" i="11" l="1"/>
  <c r="I9" i="21"/>
  <c r="K7" i="18"/>
  <c r="K22" i="18" s="1"/>
  <c r="J79" i="12"/>
  <c r="I36" i="11"/>
  <c r="I29" i="21" s="1"/>
  <c r="L6" i="21"/>
  <c r="J67" i="12"/>
  <c r="H12" i="11"/>
  <c r="H9" i="21"/>
  <c r="H31" i="12"/>
  <c r="H14" i="11" s="1"/>
  <c r="J25" i="12"/>
  <c r="J8" i="19"/>
  <c r="H36" i="12"/>
  <c r="H37" i="12" s="1"/>
  <c r="J29" i="11"/>
  <c r="J35" i="11" s="1"/>
  <c r="J36" i="11" s="1"/>
  <c r="J29" i="21" s="1"/>
  <c r="I19" i="18"/>
  <c r="J17" i="18"/>
  <c r="J18" i="18" s="1"/>
  <c r="J18" i="12"/>
  <c r="K16" i="17"/>
  <c r="K88" i="12"/>
  <c r="K91" i="12" s="1"/>
  <c r="I9" i="17"/>
  <c r="I78" i="12"/>
  <c r="K56" i="12"/>
  <c r="K83" i="12"/>
  <c r="K57" i="12"/>
  <c r="K84" i="12"/>
  <c r="K6" i="16"/>
  <c r="J16" i="16"/>
  <c r="J28" i="21" s="1"/>
  <c r="J52" i="12"/>
  <c r="J7" i="16"/>
  <c r="J94" i="12" s="1"/>
  <c r="K23" i="18"/>
  <c r="K66" i="12"/>
  <c r="K27" i="11" s="1"/>
  <c r="K33" i="11" s="1"/>
  <c r="J15" i="18"/>
  <c r="J24" i="18"/>
  <c r="J55" i="12"/>
  <c r="J28" i="11" s="1"/>
  <c r="J34" i="11" s="1"/>
  <c r="L13" i="18"/>
  <c r="L14" i="18"/>
  <c r="K12" i="12"/>
  <c r="K13" i="12" s="1"/>
  <c r="K11" i="11" s="1"/>
  <c r="K12" i="18"/>
  <c r="K82" i="12" s="1"/>
  <c r="N15" i="11"/>
  <c r="O15" i="11"/>
  <c r="J6" i="17"/>
  <c r="J8" i="17" s="1"/>
  <c r="J78" i="12" s="1"/>
  <c r="I60" i="12"/>
  <c r="L21" i="12"/>
  <c r="L7" i="17"/>
  <c r="L25" i="21" s="1"/>
  <c r="L8" i="18"/>
  <c r="L15" i="12"/>
  <c r="L9" i="12"/>
  <c r="L6" i="18"/>
  <c r="L80" i="12" s="1"/>
  <c r="K47" i="8"/>
  <c r="F45" i="12"/>
  <c r="H47" i="8"/>
  <c r="C45" i="12"/>
  <c r="I47" i="8"/>
  <c r="D45" i="12"/>
  <c r="I27" i="12"/>
  <c r="I17" i="17"/>
  <c r="E47" i="12"/>
  <c r="G47" i="12"/>
  <c r="I13" i="11" l="1"/>
  <c r="I19" i="11" s="1"/>
  <c r="I25" i="11"/>
  <c r="K17" i="18"/>
  <c r="K18" i="18" s="1"/>
  <c r="K9" i="18"/>
  <c r="L7" i="18"/>
  <c r="L22" i="18" s="1"/>
  <c r="K79" i="12"/>
  <c r="J19" i="12"/>
  <c r="J8" i="21"/>
  <c r="J6" i="11"/>
  <c r="J13" i="11"/>
  <c r="J19" i="11" s="1"/>
  <c r="I30" i="11"/>
  <c r="I7" i="19"/>
  <c r="K67" i="12"/>
  <c r="K29" i="11" s="1"/>
  <c r="K35" i="11" s="1"/>
  <c r="K36" i="11" s="1"/>
  <c r="K29" i="21" s="1"/>
  <c r="H77" i="12"/>
  <c r="H85" i="12" s="1"/>
  <c r="H24" i="21" s="1"/>
  <c r="H15" i="11"/>
  <c r="H11" i="21"/>
  <c r="J17" i="21"/>
  <c r="J10" i="19"/>
  <c r="H41" i="12"/>
  <c r="H8" i="11"/>
  <c r="H10" i="21"/>
  <c r="J19" i="18"/>
  <c r="L16" i="17"/>
  <c r="L88" i="12"/>
  <c r="L91" i="12" s="1"/>
  <c r="L79" i="12"/>
  <c r="L57" i="12"/>
  <c r="L84" i="12"/>
  <c r="L56" i="12"/>
  <c r="L83" i="12"/>
  <c r="K8" i="16"/>
  <c r="K11" i="16" s="1"/>
  <c r="K13" i="16" s="1"/>
  <c r="K24" i="12" s="1"/>
  <c r="K18" i="12"/>
  <c r="L12" i="12"/>
  <c r="L13" i="12" s="1"/>
  <c r="L11" i="11" s="1"/>
  <c r="L12" i="18"/>
  <c r="L82" i="12" s="1"/>
  <c r="L23" i="18"/>
  <c r="L66" i="12"/>
  <c r="L27" i="11" s="1"/>
  <c r="L33" i="11" s="1"/>
  <c r="K24" i="18"/>
  <c r="K15" i="18"/>
  <c r="K55" i="12"/>
  <c r="K28" i="11" s="1"/>
  <c r="K34" i="11" s="1"/>
  <c r="F47" i="12"/>
  <c r="C47" i="12"/>
  <c r="L9" i="18"/>
  <c r="D47" i="12"/>
  <c r="I30" i="12"/>
  <c r="I7" i="11" s="1"/>
  <c r="I28" i="12"/>
  <c r="I18" i="11" s="1"/>
  <c r="J9" i="17"/>
  <c r="J27" i="12"/>
  <c r="J25" i="11" s="1"/>
  <c r="J17" i="17"/>
  <c r="H38" i="11" l="1"/>
  <c r="H40" i="11"/>
  <c r="L67" i="12"/>
  <c r="K19" i="18"/>
  <c r="K19" i="12"/>
  <c r="K8" i="21"/>
  <c r="K6" i="11"/>
  <c r="H103" i="12"/>
  <c r="H26" i="21" s="1"/>
  <c r="J12" i="11"/>
  <c r="J9" i="21"/>
  <c r="K25" i="12"/>
  <c r="K8" i="19"/>
  <c r="H42" i="12"/>
  <c r="H12" i="21"/>
  <c r="H44" i="12"/>
  <c r="H47" i="12" s="1"/>
  <c r="H22" i="11" s="1"/>
  <c r="L29" i="11"/>
  <c r="L35" i="11" s="1"/>
  <c r="L36" i="11" s="1"/>
  <c r="L29" i="21" s="1"/>
  <c r="L18" i="12"/>
  <c r="L6" i="16"/>
  <c r="K7" i="16"/>
  <c r="K94" i="12" s="1"/>
  <c r="K16" i="16"/>
  <c r="K28" i="21" s="1"/>
  <c r="K52" i="12"/>
  <c r="L24" i="18"/>
  <c r="L55" i="12"/>
  <c r="L28" i="11" s="1"/>
  <c r="L34" i="11" s="1"/>
  <c r="L15" i="18"/>
  <c r="L17" i="18"/>
  <c r="L19" i="18" s="1"/>
  <c r="K6" i="17"/>
  <c r="K8" i="17" s="1"/>
  <c r="K78" i="12" s="1"/>
  <c r="J60" i="12"/>
  <c r="I31" i="12"/>
  <c r="I14" i="11" s="1"/>
  <c r="I33" i="12"/>
  <c r="I36" i="12" s="1"/>
  <c r="L19" i="12"/>
  <c r="J30" i="12"/>
  <c r="J7" i="11" s="1"/>
  <c r="J28" i="12"/>
  <c r="J18" i="11" s="1"/>
  <c r="N22" i="11"/>
  <c r="O22" i="11"/>
  <c r="L9" i="21" l="1"/>
  <c r="L12" i="11"/>
  <c r="K12" i="11"/>
  <c r="K9" i="21"/>
  <c r="J30" i="11"/>
  <c r="J7" i="19"/>
  <c r="L6" i="11"/>
  <c r="L8" i="21"/>
  <c r="K17" i="21"/>
  <c r="K10" i="19"/>
  <c r="H95" i="12"/>
  <c r="H97" i="12" s="1"/>
  <c r="H99" i="12" s="1"/>
  <c r="H101" i="12" s="1"/>
  <c r="H13" i="21"/>
  <c r="H9" i="11"/>
  <c r="H51" i="12"/>
  <c r="I77" i="12"/>
  <c r="I10" i="21"/>
  <c r="I8" i="11"/>
  <c r="L8" i="16"/>
  <c r="L11" i="16" s="1"/>
  <c r="L13" i="16" s="1"/>
  <c r="L24" i="12" s="1"/>
  <c r="L18" i="18"/>
  <c r="K9" i="17"/>
  <c r="K17" i="17"/>
  <c r="K27" i="12"/>
  <c r="J31" i="12"/>
  <c r="J14" i="11" s="1"/>
  <c r="J33" i="12"/>
  <c r="J36" i="12" s="1"/>
  <c r="N24" i="11"/>
  <c r="O24" i="11"/>
  <c r="I37" i="12"/>
  <c r="I41" i="12"/>
  <c r="I12" i="21" s="1"/>
  <c r="K25" i="11" l="1"/>
  <c r="K13" i="11"/>
  <c r="K19" i="11" s="1"/>
  <c r="H31" i="11"/>
  <c r="H21" i="11"/>
  <c r="H21" i="21" s="1"/>
  <c r="H19" i="21"/>
  <c r="H23" i="11"/>
  <c r="H58" i="12"/>
  <c r="J77" i="12"/>
  <c r="J10" i="21"/>
  <c r="J8" i="11"/>
  <c r="I15" i="11"/>
  <c r="I11" i="21"/>
  <c r="L25" i="12"/>
  <c r="L8" i="19"/>
  <c r="H6" i="19"/>
  <c r="H27" i="21"/>
  <c r="I100" i="12"/>
  <c r="H68" i="12"/>
  <c r="H5" i="19"/>
  <c r="L7" i="16"/>
  <c r="L94" i="12" s="1"/>
  <c r="L16" i="16"/>
  <c r="L28" i="21" s="1"/>
  <c r="L52" i="12"/>
  <c r="J41" i="12"/>
  <c r="J12" i="21" s="1"/>
  <c r="J37" i="12"/>
  <c r="K28" i="12"/>
  <c r="K18" i="11" s="1"/>
  <c r="K30" i="12"/>
  <c r="K7" i="11" s="1"/>
  <c r="I44" i="12"/>
  <c r="I42" i="12"/>
  <c r="L6" i="17"/>
  <c r="L8" i="17" s="1"/>
  <c r="L78" i="12" s="1"/>
  <c r="K60" i="12"/>
  <c r="K30" i="11" l="1"/>
  <c r="K7" i="19"/>
  <c r="H20" i="21"/>
  <c r="H24" i="11"/>
  <c r="J15" i="11"/>
  <c r="J11" i="21"/>
  <c r="I95" i="12"/>
  <c r="I97" i="12" s="1"/>
  <c r="I13" i="21"/>
  <c r="I9" i="11"/>
  <c r="L17" i="21"/>
  <c r="L10" i="19"/>
  <c r="H18" i="21"/>
  <c r="H69" i="12"/>
  <c r="H71" i="12" s="1"/>
  <c r="H9" i="19"/>
  <c r="K31" i="12"/>
  <c r="K14" i="11" s="1"/>
  <c r="K33" i="12"/>
  <c r="K36" i="12" s="1"/>
  <c r="L9" i="17"/>
  <c r="L60" i="12" s="1"/>
  <c r="L30" i="11" s="1"/>
  <c r="L27" i="12"/>
  <c r="L17" i="17"/>
  <c r="I47" i="12"/>
  <c r="I22" i="11" s="1"/>
  <c r="I51" i="12"/>
  <c r="I19" i="21" s="1"/>
  <c r="J42" i="12"/>
  <c r="J44" i="12"/>
  <c r="L13" i="11" l="1"/>
  <c r="L19" i="11" s="1"/>
  <c r="L25" i="11"/>
  <c r="L7" i="19"/>
  <c r="J13" i="21"/>
  <c r="J9" i="11"/>
  <c r="K77" i="12"/>
  <c r="K8" i="11"/>
  <c r="K10" i="21"/>
  <c r="H16" i="21"/>
  <c r="H4" i="19"/>
  <c r="H39" i="11"/>
  <c r="H73" i="12"/>
  <c r="I6" i="19"/>
  <c r="I31" i="11"/>
  <c r="I21" i="11"/>
  <c r="I21" i="21" s="1"/>
  <c r="I23" i="11"/>
  <c r="I58" i="12"/>
  <c r="J47" i="12"/>
  <c r="J22" i="11" s="1"/>
  <c r="J95" i="12"/>
  <c r="J97" i="12" s="1"/>
  <c r="K37" i="12"/>
  <c r="K41" i="12"/>
  <c r="K12" i="21" s="1"/>
  <c r="J51" i="12"/>
  <c r="L28" i="12"/>
  <c r="L18" i="11" s="1"/>
  <c r="L30" i="12"/>
  <c r="L7" i="11" s="1"/>
  <c r="I24" i="11" l="1"/>
  <c r="I20" i="21"/>
  <c r="J6" i="19"/>
  <c r="J19" i="21"/>
  <c r="K11" i="21"/>
  <c r="K15" i="11"/>
  <c r="J23" i="11"/>
  <c r="J31" i="11"/>
  <c r="J21" i="11"/>
  <c r="J21" i="21" s="1"/>
  <c r="J58" i="12"/>
  <c r="K44" i="12"/>
  <c r="K42" i="12"/>
  <c r="L31" i="12"/>
  <c r="L14" i="11" s="1"/>
  <c r="L33" i="12"/>
  <c r="L36" i="12" s="1"/>
  <c r="K9" i="11" l="1"/>
  <c r="K13" i="21"/>
  <c r="J24" i="11"/>
  <c r="J20" i="21"/>
  <c r="L77" i="12"/>
  <c r="L10" i="21"/>
  <c r="L8" i="11"/>
  <c r="K47" i="12"/>
  <c r="K22" i="11" s="1"/>
  <c r="K95" i="12"/>
  <c r="K97" i="12" s="1"/>
  <c r="L41" i="12"/>
  <c r="L12" i="21" s="1"/>
  <c r="L37" i="12"/>
  <c r="K51" i="12"/>
  <c r="K19" i="21" s="1"/>
  <c r="L11" i="21" l="1"/>
  <c r="L15" i="11"/>
  <c r="K21" i="11"/>
  <c r="K21" i="21" s="1"/>
  <c r="K31" i="11"/>
  <c r="K23" i="11"/>
  <c r="K6" i="19"/>
  <c r="K58" i="12"/>
  <c r="L42" i="12"/>
  <c r="L44" i="12"/>
  <c r="L13" i="21" l="1"/>
  <c r="L9" i="11"/>
  <c r="K24" i="11"/>
  <c r="K20" i="21"/>
  <c r="L51" i="12"/>
  <c r="L19" i="21" s="1"/>
  <c r="L95" i="12"/>
  <c r="L97" i="12" s="1"/>
  <c r="L47" i="12"/>
  <c r="L22" i="11" s="1"/>
  <c r="L58" i="12" l="1"/>
  <c r="L21" i="11"/>
  <c r="L21" i="21" s="1"/>
  <c r="L31" i="11"/>
  <c r="L23" i="11"/>
  <c r="L6" i="19"/>
  <c r="L24" i="11" l="1"/>
  <c r="L20" i="21"/>
  <c r="I63" i="12"/>
  <c r="J63" i="12"/>
  <c r="K63" i="12"/>
  <c r="L63" i="12"/>
  <c r="I64" i="12" l="1"/>
  <c r="I81" i="12"/>
  <c r="I85" i="12" s="1"/>
  <c r="I24" i="21" s="1"/>
  <c r="J64" i="12"/>
  <c r="J81" i="12"/>
  <c r="J85" i="12" s="1"/>
  <c r="J24" i="21" s="1"/>
  <c r="L64" i="12"/>
  <c r="L81" i="12"/>
  <c r="L85" i="12" s="1"/>
  <c r="L24" i="21" s="1"/>
  <c r="K64" i="12"/>
  <c r="K81" i="12"/>
  <c r="K85" i="12" s="1"/>
  <c r="K24" i="21" s="1"/>
  <c r="K99" i="12" l="1"/>
  <c r="K38" i="11"/>
  <c r="K103" i="12"/>
  <c r="K26" i="21" s="1"/>
  <c r="K40" i="11"/>
  <c r="J99" i="12"/>
  <c r="J40" i="11"/>
  <c r="J38" i="11"/>
  <c r="J103" i="12"/>
  <c r="J26" i="21" s="1"/>
  <c r="L99" i="12"/>
  <c r="L40" i="11"/>
  <c r="L103" i="12"/>
  <c r="L26" i="21" s="1"/>
  <c r="L38" i="11"/>
  <c r="I99" i="12"/>
  <c r="I101" i="12" s="1"/>
  <c r="I27" i="21" s="1"/>
  <c r="I38" i="11"/>
  <c r="I40" i="11"/>
  <c r="I103" i="12"/>
  <c r="I26" i="21" s="1"/>
  <c r="J100" i="12" l="1"/>
  <c r="J101" i="12" s="1"/>
  <c r="J27" i="21" s="1"/>
  <c r="I68" i="12"/>
  <c r="I18" i="21" s="1"/>
  <c r="I9" i="19" l="1"/>
  <c r="I69" i="12"/>
  <c r="I71" i="12" s="1"/>
  <c r="I16" i="21" s="1"/>
  <c r="I5" i="19"/>
  <c r="J68" i="12"/>
  <c r="K100" i="12"/>
  <c r="K101" i="12" s="1"/>
  <c r="K27" i="21" s="1"/>
  <c r="J5" i="19" l="1"/>
  <c r="J18" i="21"/>
  <c r="L100" i="12"/>
  <c r="L101" i="12" s="1"/>
  <c r="L27" i="21" s="1"/>
  <c r="K68" i="12"/>
  <c r="K18" i="21" s="1"/>
  <c r="I4" i="19"/>
  <c r="I73" i="12"/>
  <c r="I39" i="11"/>
  <c r="J9" i="19"/>
  <c r="J69" i="12"/>
  <c r="J71" i="12" s="1"/>
  <c r="J16" i="21" s="1"/>
  <c r="J4" i="19" l="1"/>
  <c r="J39" i="11"/>
  <c r="J73" i="12"/>
  <c r="K9" i="19"/>
  <c r="K69" i="12"/>
  <c r="K71" i="12" s="1"/>
  <c r="K16" i="21" s="1"/>
  <c r="K5" i="19"/>
  <c r="L68" i="12"/>
  <c r="L5" i="19" l="1"/>
  <c r="L18" i="21"/>
  <c r="K39" i="11"/>
  <c r="K4" i="19"/>
  <c r="K73" i="12"/>
  <c r="L9" i="19"/>
  <c r="L69" i="12"/>
  <c r="L71" i="12" s="1"/>
  <c r="L16" i="21" s="1"/>
  <c r="L4" i="19" l="1"/>
  <c r="L39" i="11"/>
  <c r="L73" i="12"/>
  <c r="C13" i="19" l="1"/>
  <c r="O14" i="21" s="1"/>
</calcChain>
</file>

<file path=xl/sharedStrings.xml><?xml version="1.0" encoding="utf-8"?>
<sst xmlns="http://schemas.openxmlformats.org/spreadsheetml/2006/main" count="469" uniqueCount="305">
  <si>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</si>
  <si>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</si>
  <si>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</si>
  <si>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</si>
  <si>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</si>
  <si>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</si>
  <si>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</si>
  <si>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</si>
  <si>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</si>
  <si>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</si>
  <si>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</si>
  <si>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</si>
  <si>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</si>
  <si>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</si>
  <si>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</si>
  <si>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</si>
  <si>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</si>
  <si>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</si>
  <si>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</si>
  <si>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</si>
  <si>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</si>
  <si>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</si>
  <si>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</si>
  <si>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</si>
  <si>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</si>
  <si>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</si>
  <si>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</si>
  <si>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</si>
  <si>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</si>
  <si>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</si>
  <si>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</si>
  <si>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Inventory Turnover</t>
  </si>
  <si>
    <t>LATEST VERSION</t>
  </si>
  <si>
    <t>CURRENT VERSION</t>
  </si>
  <si>
    <t>TITAN COMPANY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</si>
  <si>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</si>
  <si>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</si>
  <si>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</si>
  <si>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</si>
  <si>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</si>
  <si>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</si>
  <si>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</si>
  <si>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</si>
  <si>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</si>
  <si>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</si>
  <si>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</si>
  <si>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</si>
  <si>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</si>
  <si>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</si>
  <si>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</si>
  <si>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</si>
  <si>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</si>
  <si>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</si>
  <si>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</si>
  <si>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</si>
  <si>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</si>
  <si>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</si>
  <si>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</si>
  <si>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</si>
  <si>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</si>
  <si>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</si>
  <si>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</si>
  <si>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</si>
  <si>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</si>
  <si>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</si>
  <si>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</si>
  <si>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</si>
  <si>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 % Sales</t>
  </si>
  <si>
    <t>Depreciation%Sales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</si>
  <si>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</si>
  <si>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</si>
  <si>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</si>
  <si>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</si>
  <si>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</si>
  <si>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</si>
  <si>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</si>
  <si>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</si>
  <si>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</si>
  <si>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</si>
  <si>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</si>
  <si>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Other Income % Sales</t>
  </si>
  <si>
    <t>#</t>
  </si>
  <si>
    <t>Balance Sheet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</si>
  <si>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</si>
  <si>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</si>
  <si>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</si>
  <si>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</si>
  <si>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</si>
  <si>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</si>
  <si>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Cashflow Statement</t>
  </si>
  <si>
    <t>Cash from Operating Activity -</t>
  </si>
  <si>
    <t>Profit from operations</t>
  </si>
  <si>
    <t>Payables</t>
  </si>
  <si>
    <t>Loans Advances</t>
  </si>
  <si>
    <t>Operating borrowings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</si>
  <si>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</si>
  <si>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</si>
  <si>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</si>
  <si>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</si>
  <si>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</si>
  <si>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</si>
  <si>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</si>
  <si>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</si>
  <si>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</si>
  <si>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</si>
  <si>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</si>
  <si>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Acquisition of companies</t>
  </si>
  <si>
    <t>Inter corporate deposits</t>
  </si>
  <si>
    <t>Other investing items</t>
  </si>
  <si>
    <t>Cash from Financing Activity 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</si>
  <si>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</si>
  <si>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</si>
  <si>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</si>
  <si>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</si>
  <si>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</si>
  <si>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</si>
  <si>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</si>
  <si>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</si>
  <si>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Operating Activities</t>
  </si>
  <si>
    <t>Investing Activities</t>
  </si>
  <si>
    <t>Cash from Financing Activities</t>
  </si>
  <si>
    <t>Financing Activities</t>
  </si>
  <si>
    <t>Cash from Investing Activities</t>
  </si>
  <si>
    <t>SalesGrowth</t>
  </si>
  <si>
    <t>EBITDA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</si>
  <si>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</si>
  <si>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</si>
  <si>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</si>
  <si>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</si>
  <si>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</si>
  <si>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</si>
  <si>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</si>
  <si>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</si>
  <si>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</si>
  <si>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</si>
  <si>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</si>
  <si>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</si>
  <si>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</si>
  <si>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</si>
  <si>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</si>
  <si>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</si>
  <si>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</si>
  <si>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</si>
  <si>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</si>
  <si>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</si>
  <si>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</si>
  <si>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</si>
  <si>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</si>
  <si>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</si>
  <si>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</si>
  <si>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Cash from Operating Activities</t>
  </si>
  <si>
    <t>Trend</t>
  </si>
  <si>
    <t xml:space="preserve">Mean </t>
  </si>
  <si>
    <t>Median</t>
  </si>
  <si>
    <t>Titan Company Ltd — 3-Statement Financial Model</t>
  </si>
  <si>
    <t>Company</t>
  </si>
  <si>
    <t>Titan Company Ltd (NSE: TITAN) — jewellery (Tanishq, Mia, CaratLane), watches &amp; wearables, eyecare, fragrances</t>
  </si>
  <si>
    <t>Why this company</t>
  </si>
  <si>
    <t>Simple, asset-light retail/manufacturing model: revenue → margins → working capital (mostly gold inventory) → cash. Not a bank/NBFC/insurer.</t>
  </si>
  <si>
    <t>Data source</t>
  </si>
  <si>
    <t>Screener.in consolidated financials (https://www.screener.in/company/TITAN/consolidated/), incl. balance-sheet and expense schedules; pulled 25-Sep-2026.</t>
  </si>
  <si>
    <t>Purpose</t>
  </si>
  <si>
    <t>Worked example / learning template. Forecast assumptions are illustrative, not investment advice.</t>
  </si>
  <si>
    <t>Colour legend</t>
  </si>
  <si>
    <t>Blue text = hard-coded input (historical data or forecast assumption)</t>
  </si>
  <si>
    <t>Black text = formula / calculation on the same sheet</t>
  </si>
  <si>
    <t>Green text = direct link pulled from another sheet</t>
  </si>
  <si>
    <t>Yellow fill = key forecast driver — change these to run your own scenarios</t>
  </si>
  <si>
    <t>Grey fill = forecast period columns</t>
  </si>
  <si>
    <t>Sheet map (follow in this order)</t>
  </si>
  <si>
    <t>Assumptions</t>
  </si>
  <si>
    <t>FA_Schedule</t>
  </si>
  <si>
    <t>WC_Schedule</t>
  </si>
  <si>
    <t>Debt_Schedule</t>
  </si>
  <si>
    <t>Checks</t>
  </si>
  <si>
    <t>Ratios</t>
  </si>
  <si>
    <t>Summary</t>
  </si>
  <si>
    <t>Key simplifications</t>
  </si>
  <si>
    <t>• Screener gives cost lines as rounded % of sales; material &amp; employee costs are rebuilt from those %s, and 'Other expenses' is the balancing figure so total expenses match exactly.</t>
  </si>
  <si>
    <t>• Historical cash flow is shown as reported (CFO/CFI/CFF totals). Screener's 'Cash Equivalents' on the balance sheet uses a narrower definition, so historical net cash flow won't tie to the change in BS cash — the forecast ties exactly.</t>
  </si>
  <si>
    <t>• Dividends are assumed paid in the same year as the profit (Titan actually pays the final dividend in the next year).</t>
  </si>
  <si>
    <t>• Lease liabilities, CWIP, investments and share capital are held flat in the forecast.</t>
  </si>
  <si>
    <t>• Minority interest is not modelled separately (small for Titan).</t>
  </si>
  <si>
    <t>Consolidated | ₹ Crore | FY ends 31 March | Actuals FY17–FY26, Forecast FY27E–FY31E</t>
  </si>
  <si>
    <t>Historical FS</t>
  </si>
  <si>
    <t>Forcasting</t>
  </si>
  <si>
    <t>One-page output with key numbers, valuation snapshot and charts.</t>
  </si>
  <si>
    <t>Income Statement, Balance Sheet, Cash Flow Statement  — historical + forecast.</t>
  </si>
  <si>
    <t>Working-capital schedule: inventory, receivables, payables, advances, other items.</t>
  </si>
  <si>
    <t>Growth, EBITDA margin, net margin, ROE, ROCE, Debt/Equity and more.</t>
  </si>
  <si>
    <t>Balance check (Assets = Liabilities + Equity), cash tie-out, roll-forward checks.</t>
  </si>
  <si>
    <t>Income Statement Drivers</t>
  </si>
  <si>
    <t>Material cost %</t>
  </si>
  <si>
    <t>EBITDA margin %</t>
  </si>
  <si>
    <t>Other income %</t>
  </si>
  <si>
    <t>Effective Tax Rate %</t>
  </si>
  <si>
    <t>Revenue Growth %</t>
  </si>
  <si>
    <t>Notes / Rationale</t>
  </si>
  <si>
    <t>Selling and General Expenses %</t>
  </si>
  <si>
    <t>Capex % of Revenue</t>
  </si>
  <si>
    <t>Working Capital Drivers</t>
  </si>
  <si>
    <t>Fixed Assets / Capex Drivers</t>
  </si>
  <si>
    <t>Advances from customers % of revenue</t>
  </si>
  <si>
    <t>Other assets % of revenue</t>
  </si>
  <si>
    <t>Other liabilities % of revenue</t>
  </si>
  <si>
    <t>Capital WIP</t>
  </si>
  <si>
    <t>Receivable Days</t>
  </si>
  <si>
    <t>Inventory days</t>
  </si>
  <si>
    <t>Receivable days</t>
  </si>
  <si>
    <t>Payable days</t>
  </si>
  <si>
    <t>Aadhar</t>
  </si>
  <si>
    <t>Finance Drivers</t>
  </si>
  <si>
    <t>Interest Rate (% of Average Borrowings)</t>
  </si>
  <si>
    <t>Borrowings Growth %</t>
  </si>
  <si>
    <t>Shares outstanding (Cr)</t>
  </si>
  <si>
    <t>Dividend payout Ratio</t>
  </si>
  <si>
    <t>Held flat</t>
  </si>
  <si>
    <t>(+) Capex</t>
  </si>
  <si>
    <t>(−) Depreciation</t>
  </si>
  <si>
    <t>Opening fixed assets net block</t>
  </si>
  <si>
    <t>Closing fixed assets net block</t>
  </si>
  <si>
    <t>CWIP &amp; Investment</t>
  </si>
  <si>
    <t>Memo</t>
  </si>
  <si>
    <t>Depreciation % of opening fixed assets net block</t>
  </si>
  <si>
    <t>Operating current assets</t>
  </si>
  <si>
    <t>Other assets</t>
  </si>
  <si>
    <t>Total Operating current assets</t>
  </si>
  <si>
    <t>Operating current liabilities</t>
  </si>
  <si>
    <t>Total Operating current Liabilities</t>
  </si>
  <si>
    <t>Net working capital (NWC)</t>
  </si>
  <si>
    <t>Change in NWC (-ve = cash outflow)</t>
  </si>
  <si>
    <t>NWC % of revenue</t>
  </si>
  <si>
    <t>Days (Memo)</t>
  </si>
  <si>
    <t>Other Liabilities -</t>
  </si>
  <si>
    <t>Non controlling int</t>
  </si>
  <si>
    <t>Trade Payables</t>
  </si>
  <si>
    <t>Advance from Customers</t>
  </si>
  <si>
    <t>Other liability items</t>
  </si>
  <si>
    <t xml:space="preserve">      Non controlling int</t>
  </si>
  <si>
    <t xml:space="preserve">      Trade Payables</t>
  </si>
  <si>
    <t xml:space="preserve">      Advance from Customers</t>
  </si>
  <si>
    <t xml:space="preserve">      Other liability items</t>
  </si>
  <si>
    <t>Borrowing</t>
  </si>
  <si>
    <t>Opening Borrowing</t>
  </si>
  <si>
    <t>Net Borrowings / (Repayment)</t>
  </si>
  <si>
    <t>Closing Borrowing</t>
  </si>
  <si>
    <t>Interest Expense</t>
  </si>
  <si>
    <t>Average Borrowing</t>
  </si>
  <si>
    <t>(Increase)/decrease in inventories</t>
  </si>
  <si>
    <t>(Increase)/decrease in receivables</t>
  </si>
  <si>
    <t>(Increase)/decrease in other assets</t>
  </si>
  <si>
    <t>Increase/(decrease) in trade payables</t>
  </si>
  <si>
    <t>Increase/(decrease) in customer advances</t>
  </si>
  <si>
    <t>Increase/(decrease) in other liabilities</t>
  </si>
  <si>
    <t>Add: Depreciation (non-cash)</t>
  </si>
  <si>
    <t>Capital Expenditure (Capex)</t>
  </si>
  <si>
    <t>(Increase) / Decrease in Capital WIP</t>
  </si>
  <si>
    <t>(Increase) / Decrease in Investments</t>
  </si>
  <si>
    <t>Net Borrowings / (Repayments)</t>
  </si>
  <si>
    <t>Dividends Paid</t>
  </si>
  <si>
    <t>Change in share capital</t>
  </si>
  <si>
    <t>Equity Shares Capital (Cr)</t>
  </si>
  <si>
    <t xml:space="preserve">Opening Cash Balance </t>
  </si>
  <si>
    <t>Closing Cash Balance</t>
  </si>
  <si>
    <t>Free cash flow (CFO − Capex)</t>
  </si>
  <si>
    <t>Historical three Statements of previous 10 years linked with Screener raw data.</t>
  </si>
  <si>
    <t>Cash: CF closing cash − BS cash</t>
  </si>
  <si>
    <t>Reserves roll-forward: Opening + PAT − Div − Closing</t>
  </si>
  <si>
    <t>Fixed assets roll-forward: Opening + Capex − Dep − Closing</t>
  </si>
  <si>
    <t>Debt: IS interest − Debt schedule interest</t>
  </si>
  <si>
    <t>Negative borrowings? (1 = yes)</t>
  </si>
  <si>
    <t>Balance sheet:Total Assets - Total Liabilities</t>
  </si>
  <si>
    <t>Minimum cash / recievables / inventory breached?</t>
  </si>
  <si>
    <t>FINAL CHECK</t>
  </si>
  <si>
    <t>Borrowings and interest.</t>
  </si>
  <si>
    <t>Fixed-asset &amp; depreciation roll-forward, CWIP and Investment.</t>
  </si>
  <si>
    <t xml:space="preserve">   Cash Conversion Cycle (days)</t>
  </si>
  <si>
    <t xml:space="preserve">   Borrowings Growth %</t>
  </si>
  <si>
    <t>Free Cash Flow (CFO − Capex)</t>
  </si>
  <si>
    <t>Capital Expenditure</t>
  </si>
  <si>
    <t>CASH FLOW</t>
  </si>
  <si>
    <t xml:space="preserve">   Return on Capital Employed %</t>
  </si>
  <si>
    <t xml:space="preserve">   Return on Equity %</t>
  </si>
  <si>
    <t>Debt / Equity (x)</t>
  </si>
  <si>
    <t>Net Debt (Borrowings − Cash)</t>
  </si>
  <si>
    <t>Total Borrowings</t>
  </si>
  <si>
    <t>BALANCE SHEET &amp; RETURNS</t>
  </si>
  <si>
    <t>Status</t>
  </si>
  <si>
    <t>MODEL HEALTH</t>
  </si>
  <si>
    <t>DPS (₹)</t>
  </si>
  <si>
    <t>EPS (₹)</t>
  </si>
  <si>
    <t>Net Debt / EBITDA (x), FY26A</t>
  </si>
  <si>
    <t xml:space="preserve">   Net Profit Margin %</t>
  </si>
  <si>
    <t>P/B (x), FY26A</t>
  </si>
  <si>
    <t>P/E (x), FY26A EPS</t>
  </si>
  <si>
    <t xml:space="preserve">   EBITDA Margin %</t>
  </si>
  <si>
    <t>Shares Outstanding (Cr)</t>
  </si>
  <si>
    <t>Market Cap (₹ Cr)</t>
  </si>
  <si>
    <t xml:space="preserve">   Revenue Growth %</t>
  </si>
  <si>
    <t>Current Price (₹)</t>
  </si>
  <si>
    <t>Revenue</t>
  </si>
  <si>
    <t>VALUATION SNAPSHOT</t>
  </si>
  <si>
    <t>KEY FINANCIALS</t>
  </si>
  <si>
    <t>₹ Values are in Cr.</t>
  </si>
  <si>
    <t>All forecast drivers in one place, change according to the chosen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</si>
</sst>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#,##0.00;\(#,##0.00\)"/>
    <numFmt numFmtId="167" formatCode="[$₹-4009]\ #,##0.0;\([$₹-4009]\ #,##0.0\);\-"/>
    <numFmt numFmtId="168" formatCode="0.00&quot;x&quot;"/>
    <numFmt numFmtId="169" formatCode="0&quot;days&quot;"/>
    <numFmt numFmtId="170" formatCode="#,##0.0_);\(#,##0.0\)"/>
    <numFmt numFmtId="171" formatCode="yyyy&quot;A&quot;"/>
    <numFmt numFmtId="172" formatCode="mmm\-yy&quot;E&quot;"/>
    <numFmt numFmtId="173" formatCode="0\ &quot;days&quot;"/>
    <numFmt numFmtId="174" formatCode="[$₹-4009]\ #,##0.0;[$₹-4009]\ \-#,##0.0"/>
    <numFmt numFmtId="175" formatCode="[$₹-4009]\ #,##0.00;[$₹-4009]\ \-#,##0.00"/>
    <numFmt numFmtId="176" formatCode="mmm\-yy&quot;A&quot;"/>
    <numFmt numFmtId="177" formatCode="0&quot; d&quot;"/>
    <numFmt numFmtId="178" formatCode="0.00\x"/>
    <numFmt numFmtId="179" formatCode="[$₹-4009]\ #,##0.00;\([$₹-4009]\ #,##0.00\);\-"/>
    <numFmt numFmtId="180" formatCode="#,##0.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0"/>
      <name val="Arial"/>
      <family val="2"/>
    </font>
    <font>
      <b/>
      <sz val="18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0"/>
      <color rgb="FF00B05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b/>
      <sz val="11"/>
      <color rgb="FF000000"/>
      <name val="Calibri"/>
      <family val="2"/>
    </font>
    <font>
      <i/>
      <sz val="9"/>
      <color rgb="FF80808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i/>
      <sz val="9"/>
      <color theme="3" tint="0.3999755851924192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2EE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0C0C0"/>
      </patternFill>
    </fill>
    <fill>
      <patternFill patternType="solid">
        <fgColor rgb="FF002060"/>
        <bgColor rgb="FF000066"/>
      </patternFill>
    </fill>
  </fills>
  <borders count="9">
    <border>
      <left/>
      <right/>
      <top/>
      <bottom/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0066"/>
      </top>
      <bottom style="dotted">
        <color rgb="FF000066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24" fillId="0" borderId="0"/>
  </cellStyleXfs>
  <cellXfs count="154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 applyAlignment="1">
      <alignment horizontal="right"/>
    </xf>
    <xf numFmtId="0" fontId="1" fillId="5" borderId="0" xfId="0" applyFont="1" applyFill="1"/>
    <xf numFmtId="0" fontId="0" fillId="5" borderId="0" xfId="0" applyFill="1"/>
    <xf numFmtId="0" fontId="8" fillId="0" borderId="0" xfId="0" applyFont="1"/>
    <xf numFmtId="10" fontId="9" fillId="0" borderId="0" xfId="4" applyNumberFormat="1" applyFont="1"/>
    <xf numFmtId="10" fontId="9" fillId="0" borderId="0" xfId="4" applyNumberFormat="1" applyFont="1" applyAlignment="1">
      <alignment horizontal="right"/>
    </xf>
    <xf numFmtId="10" fontId="6" fillId="0" borderId="0" xfId="4" applyNumberFormat="1" applyFont="1"/>
    <xf numFmtId="167" fontId="0" fillId="0" borderId="0" xfId="0" applyNumberFormat="1"/>
    <xf numFmtId="0" fontId="7" fillId="0" borderId="0" xfId="0" applyFont="1"/>
    <xf numFmtId="0" fontId="3" fillId="0" borderId="0" xfId="1" applyNumberFormat="1" applyFont="1" applyBorder="1"/>
    <xf numFmtId="0" fontId="1" fillId="0" borderId="0" xfId="1" applyNumberFormat="1" applyFont="1" applyBorder="1"/>
    <xf numFmtId="0" fontId="0" fillId="0" borderId="0" xfId="1" applyNumberFormat="1" applyFont="1" applyBorder="1"/>
    <xf numFmtId="0" fontId="8" fillId="0" borderId="0" xfId="1" applyNumberFormat="1" applyFont="1" applyBorder="1"/>
    <xf numFmtId="0" fontId="0" fillId="0" borderId="1" xfId="0" applyBorder="1"/>
    <xf numFmtId="167" fontId="0" fillId="0" borderId="1" xfId="0" applyNumberFormat="1" applyBorder="1"/>
    <xf numFmtId="0" fontId="0" fillId="0" borderId="2" xfId="0" applyBorder="1"/>
    <xf numFmtId="10" fontId="0" fillId="0" borderId="2" xfId="4" applyNumberFormat="1" applyFont="1" applyBorder="1"/>
    <xf numFmtId="10" fontId="0" fillId="0" borderId="0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68" fontId="0" fillId="0" borderId="3" xfId="1" applyNumberFormat="1" applyFont="1" applyBorder="1"/>
    <xf numFmtId="168" fontId="0" fillId="0" borderId="2" xfId="1" applyNumberFormat="1" applyFont="1" applyBorder="1"/>
    <xf numFmtId="168" fontId="0" fillId="0" borderId="0" xfId="1" applyNumberFormat="1" applyFont="1" applyBorder="1"/>
    <xf numFmtId="169" fontId="0" fillId="0" borderId="2" xfId="0" applyNumberFormat="1" applyBorder="1"/>
    <xf numFmtId="169" fontId="0" fillId="0" borderId="0" xfId="0" applyNumberFormat="1"/>
    <xf numFmtId="169" fontId="0" fillId="0" borderId="3" xfId="0" applyNumberFormat="1" applyBorder="1"/>
    <xf numFmtId="0" fontId="10" fillId="0" borderId="0" xfId="0" applyFont="1"/>
    <xf numFmtId="10" fontId="0" fillId="0" borderId="0" xfId="4" applyNumberFormat="1" applyFont="1"/>
    <xf numFmtId="171" fontId="0" fillId="0" borderId="0" xfId="0" applyNumberFormat="1"/>
    <xf numFmtId="170" fontId="6" fillId="0" borderId="0" xfId="0" applyNumberFormat="1" applyFont="1"/>
    <xf numFmtId="0" fontId="0" fillId="0" borderId="0" xfId="0" applyAlignment="1">
      <alignment horizontal="right"/>
    </xf>
    <xf numFmtId="0" fontId="4" fillId="0" borderId="0" xfId="2" applyAlignment="1" applyProtection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/>
    <xf numFmtId="3" fontId="15" fillId="0" borderId="0" xfId="1" applyNumberFormat="1" applyFont="1" applyAlignment="1">
      <alignment horizontal="left"/>
    </xf>
    <xf numFmtId="3" fontId="16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left"/>
    </xf>
    <xf numFmtId="3" fontId="15" fillId="6" borderId="0" xfId="0" applyNumberFormat="1" applyFont="1" applyFill="1" applyAlignment="1">
      <alignment horizontal="left"/>
    </xf>
    <xf numFmtId="3" fontId="16" fillId="7" borderId="0" xfId="0" applyNumberFormat="1" applyFont="1" applyFill="1" applyAlignment="1">
      <alignment horizontal="left"/>
    </xf>
    <xf numFmtId="0" fontId="4" fillId="0" borderId="0" xfId="2" applyFill="1" applyAlignment="1" applyProtection="1"/>
    <xf numFmtId="0" fontId="1" fillId="8" borderId="0" xfId="0" applyFont="1" applyFill="1"/>
    <xf numFmtId="0" fontId="0" fillId="8" borderId="0" xfId="0" applyFill="1"/>
    <xf numFmtId="172" fontId="2" fillId="4" borderId="0" xfId="0" applyNumberFormat="1" applyFont="1" applyFill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165" fontId="2" fillId="4" borderId="0" xfId="0" applyNumberFormat="1" applyFont="1" applyFill="1" applyAlignment="1">
      <alignment horizontal="center"/>
    </xf>
    <xf numFmtId="172" fontId="2" fillId="4" borderId="0" xfId="0" applyNumberFormat="1" applyFont="1" applyFill="1" applyAlignment="1">
      <alignment horizontal="right"/>
    </xf>
    <xf numFmtId="0" fontId="18" fillId="0" borderId="0" xfId="0" applyFont="1" applyAlignment="1">
      <alignment wrapText="1"/>
    </xf>
    <xf numFmtId="10" fontId="0" fillId="0" borderId="0" xfId="0" applyNumberFormat="1"/>
    <xf numFmtId="10" fontId="19" fillId="9" borderId="0" xfId="0" applyNumberFormat="1" applyFont="1" applyFill="1"/>
    <xf numFmtId="10" fontId="0" fillId="10" borderId="0" xfId="0" applyNumberFormat="1" applyFill="1"/>
    <xf numFmtId="167" fontId="19" fillId="9" borderId="0" xfId="0" applyNumberFormat="1" applyFont="1" applyFill="1"/>
    <xf numFmtId="0" fontId="0" fillId="9" borderId="0" xfId="0" applyFill="1"/>
    <xf numFmtId="9" fontId="0" fillId="9" borderId="0" xfId="0" applyNumberFormat="1" applyFill="1"/>
    <xf numFmtId="173" fontId="19" fillId="9" borderId="0" xfId="0" applyNumberFormat="1" applyFont="1" applyFill="1"/>
    <xf numFmtId="174" fontId="0" fillId="0" borderId="0" xfId="0" applyNumberFormat="1"/>
    <xf numFmtId="175" fontId="0" fillId="0" borderId="0" xfId="0" applyNumberFormat="1"/>
    <xf numFmtId="176" fontId="2" fillId="4" borderId="0" xfId="0" applyNumberFormat="1" applyFont="1" applyFill="1"/>
    <xf numFmtId="0" fontId="2" fillId="0" borderId="0" xfId="0" applyFont="1" applyAlignment="1">
      <alignment horizontal="center"/>
    </xf>
    <xf numFmtId="0" fontId="3" fillId="0" borderId="0" xfId="0" applyFont="1"/>
    <xf numFmtId="2" fontId="20" fillId="10" borderId="0" xfId="0" applyNumberFormat="1" applyFont="1" applyFill="1"/>
    <xf numFmtId="167" fontId="20" fillId="0" borderId="0" xfId="0" applyNumberFormat="1" applyFont="1"/>
    <xf numFmtId="166" fontId="20" fillId="0" borderId="0" xfId="0" applyNumberFormat="1" applyFont="1"/>
    <xf numFmtId="10" fontId="21" fillId="0" borderId="0" xfId="4" applyNumberFormat="1" applyFont="1"/>
    <xf numFmtId="164" fontId="20" fillId="0" borderId="0" xfId="1" applyFont="1"/>
    <xf numFmtId="10" fontId="20" fillId="0" borderId="0" xfId="4" applyNumberFormat="1" applyFont="1"/>
    <xf numFmtId="0" fontId="22" fillId="0" borderId="0" xfId="0" applyFont="1"/>
    <xf numFmtId="0" fontId="1" fillId="0" borderId="4" xfId="0" applyFont="1" applyBorder="1"/>
    <xf numFmtId="167" fontId="20" fillId="0" borderId="5" xfId="0" applyNumberFormat="1" applyFont="1" applyBorder="1"/>
    <xf numFmtId="0" fontId="1" fillId="0" borderId="4" xfId="1" applyNumberFormat="1" applyFont="1" applyBorder="1"/>
    <xf numFmtId="0" fontId="1" fillId="0" borderId="6" xfId="1" applyNumberFormat="1" applyFont="1" applyBorder="1"/>
    <xf numFmtId="167" fontId="1" fillId="0" borderId="4" xfId="0" applyNumberFormat="1" applyFont="1" applyBorder="1"/>
    <xf numFmtId="0" fontId="1" fillId="0" borderId="6" xfId="0" applyFont="1" applyBorder="1"/>
    <xf numFmtId="167" fontId="1" fillId="0" borderId="6" xfId="0" applyNumberFormat="1" applyFont="1" applyBorder="1"/>
    <xf numFmtId="167" fontId="23" fillId="0" borderId="6" xfId="0" applyNumberFormat="1" applyFont="1" applyBorder="1"/>
    <xf numFmtId="167" fontId="23" fillId="0" borderId="4" xfId="0" applyNumberFormat="1" applyFont="1" applyBorder="1"/>
    <xf numFmtId="167" fontId="23" fillId="0" borderId="0" xfId="0" applyNumberFormat="1" applyFont="1"/>
    <xf numFmtId="167" fontId="0" fillId="10" borderId="0" xfId="0" applyNumberFormat="1" applyFill="1"/>
    <xf numFmtId="10" fontId="9" fillId="10" borderId="0" xfId="4" applyNumberFormat="1" applyFont="1" applyFill="1"/>
    <xf numFmtId="167" fontId="0" fillId="10" borderId="5" xfId="0" applyNumberFormat="1" applyFill="1" applyBorder="1"/>
    <xf numFmtId="167" fontId="20" fillId="10" borderId="0" xfId="0" applyNumberFormat="1" applyFont="1" applyFill="1"/>
    <xf numFmtId="10" fontId="21" fillId="10" borderId="0" xfId="4" applyNumberFormat="1" applyFont="1" applyFill="1"/>
    <xf numFmtId="10" fontId="3" fillId="10" borderId="0" xfId="4" applyNumberFormat="1" applyFont="1" applyFill="1"/>
    <xf numFmtId="167" fontId="1" fillId="10" borderId="4" xfId="0" applyNumberFormat="1" applyFont="1" applyFill="1" applyBorder="1"/>
    <xf numFmtId="167" fontId="1" fillId="10" borderId="6" xfId="0" applyNumberFormat="1" applyFont="1" applyFill="1" applyBorder="1"/>
    <xf numFmtId="0" fontId="0" fillId="10" borderId="0" xfId="0" applyFill="1"/>
    <xf numFmtId="167" fontId="6" fillId="0" borderId="0" xfId="0" applyNumberFormat="1" applyFont="1"/>
    <xf numFmtId="167" fontId="14" fillId="0" borderId="4" xfId="0" applyNumberFormat="1" applyFont="1" applyBorder="1"/>
    <xf numFmtId="0" fontId="9" fillId="0" borderId="0" xfId="4" applyNumberFormat="1" applyFont="1"/>
    <xf numFmtId="0" fontId="0" fillId="0" borderId="0" xfId="0" applyAlignment="1">
      <alignment horizontal="left" vertical="center"/>
    </xf>
    <xf numFmtId="175" fontId="1" fillId="10" borderId="6" xfId="0" applyNumberFormat="1" applyFont="1" applyFill="1" applyBorder="1"/>
    <xf numFmtId="167" fontId="1" fillId="10" borderId="0" xfId="0" applyNumberFormat="1" applyFont="1" applyFill="1"/>
    <xf numFmtId="167" fontId="6" fillId="10" borderId="0" xfId="0" applyNumberFormat="1" applyFont="1" applyFill="1"/>
    <xf numFmtId="167" fontId="14" fillId="10" borderId="4" xfId="0" applyNumberFormat="1" applyFont="1" applyFill="1" applyBorder="1"/>
    <xf numFmtId="169" fontId="0" fillId="10" borderId="0" xfId="0" applyNumberFormat="1" applyFill="1"/>
    <xf numFmtId="174" fontId="1" fillId="0" borderId="0" xfId="0" applyNumberFormat="1" applyFont="1"/>
    <xf numFmtId="175" fontId="1" fillId="0" borderId="0" xfId="0" applyNumberFormat="1" applyFont="1"/>
    <xf numFmtId="0" fontId="0" fillId="0" borderId="7" xfId="0" applyBorder="1"/>
    <xf numFmtId="0" fontId="0" fillId="0" borderId="8" xfId="0" applyBorder="1"/>
    <xf numFmtId="0" fontId="0" fillId="9" borderId="0" xfId="1" applyNumberFormat="1" applyFont="1" applyFill="1"/>
    <xf numFmtId="3" fontId="0" fillId="9" borderId="0" xfId="0" applyNumberFormat="1" applyFill="1"/>
    <xf numFmtId="170" fontId="0" fillId="9" borderId="0" xfId="0" applyNumberFormat="1" applyFill="1"/>
    <xf numFmtId="0" fontId="5" fillId="11" borderId="0" xfId="0" applyFont="1" applyFill="1"/>
    <xf numFmtId="17" fontId="2" fillId="11" borderId="0" xfId="0" applyNumberFormat="1" applyFont="1" applyFill="1"/>
    <xf numFmtId="0" fontId="8" fillId="10" borderId="0" xfId="0" applyFont="1" applyFill="1" applyAlignment="1">
      <alignment horizontal="right"/>
    </xf>
    <xf numFmtId="10" fontId="0" fillId="10" borderId="2" xfId="4" applyNumberFormat="1" applyFont="1" applyFill="1" applyBorder="1"/>
    <xf numFmtId="10" fontId="0" fillId="10" borderId="0" xfId="4" applyNumberFormat="1" applyFont="1" applyFill="1" applyBorder="1"/>
    <xf numFmtId="10" fontId="0" fillId="10" borderId="3" xfId="4" applyNumberFormat="1" applyFont="1" applyFill="1" applyBorder="1"/>
    <xf numFmtId="168" fontId="0" fillId="10" borderId="3" xfId="1" applyNumberFormat="1" applyFont="1" applyFill="1" applyBorder="1"/>
    <xf numFmtId="168" fontId="0" fillId="10" borderId="2" xfId="1" applyNumberFormat="1" applyFont="1" applyFill="1" applyBorder="1"/>
    <xf numFmtId="168" fontId="0" fillId="10" borderId="0" xfId="1" applyNumberFormat="1" applyFont="1" applyFill="1" applyBorder="1"/>
    <xf numFmtId="169" fontId="0" fillId="10" borderId="2" xfId="0" applyNumberFormat="1" applyFill="1" applyBorder="1"/>
    <xf numFmtId="169" fontId="0" fillId="10" borderId="3" xfId="0" applyNumberFormat="1" applyFill="1" applyBorder="1"/>
    <xf numFmtId="0" fontId="0" fillId="10" borderId="0" xfId="0" applyFill="1" applyAlignment="1">
      <alignment horizontal="right"/>
    </xf>
    <xf numFmtId="0" fontId="14" fillId="0" borderId="0" xfId="0" applyFont="1" applyAlignment="1">
      <alignment horizontal="left"/>
    </xf>
    <xf numFmtId="0" fontId="24" fillId="0" borderId="0" xfId="5"/>
    <xf numFmtId="177" fontId="25" fillId="0" borderId="0" xfId="5" applyNumberFormat="1" applyFont="1"/>
    <xf numFmtId="0" fontId="26" fillId="0" borderId="0" xfId="5" applyFont="1"/>
    <xf numFmtId="10" fontId="25" fillId="0" borderId="0" xfId="5" applyNumberFormat="1" applyFont="1"/>
    <xf numFmtId="167" fontId="27" fillId="0" borderId="0" xfId="5" applyNumberFormat="1" applyFont="1"/>
    <xf numFmtId="167" fontId="27" fillId="0" borderId="8" xfId="5" applyNumberFormat="1" applyFont="1" applyBorder="1"/>
    <xf numFmtId="0" fontId="28" fillId="0" borderId="8" xfId="5" applyFont="1" applyBorder="1"/>
    <xf numFmtId="0" fontId="28" fillId="0" borderId="0" xfId="5" applyFont="1"/>
    <xf numFmtId="178" fontId="27" fillId="0" borderId="0" xfId="5" applyNumberFormat="1" applyFont="1"/>
    <xf numFmtId="0" fontId="30" fillId="13" borderId="0" xfId="5" applyFont="1" applyFill="1" applyAlignment="1">
      <alignment horizontal="center"/>
    </xf>
    <xf numFmtId="179" fontId="27" fillId="0" borderId="0" xfId="5" applyNumberFormat="1" applyFont="1"/>
    <xf numFmtId="178" fontId="32" fillId="0" borderId="0" xfId="5" applyNumberFormat="1" applyFont="1"/>
    <xf numFmtId="180" fontId="27" fillId="0" borderId="0" xfId="5" applyNumberFormat="1" applyFont="1"/>
    <xf numFmtId="0" fontId="31" fillId="14" borderId="0" xfId="5" applyFont="1" applyFill="1"/>
    <xf numFmtId="0" fontId="34" fillId="0" borderId="0" xfId="5" applyFont="1"/>
    <xf numFmtId="0" fontId="29" fillId="0" borderId="0" xfId="5" applyFont="1"/>
    <xf numFmtId="0" fontId="33" fillId="14" borderId="0" xfId="5" applyFont="1" applyFill="1" applyAlignment="1">
      <alignment horizontal="center" vertical="center"/>
    </xf>
    <xf numFmtId="0" fontId="31" fillId="14" borderId="0" xfId="5" applyFont="1" applyFill="1" applyAlignment="1">
      <alignment horizontal="left" indent="1"/>
    </xf>
    <xf numFmtId="0" fontId="2" fillId="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6">
    <cellStyle name="Accent6" xfId="3" builtinId="49"/>
    <cellStyle name="Comma" xfId="1" builtinId="3"/>
    <cellStyle name="Hyperlink" xfId="2" builtinId="8"/>
    <cellStyle name="Normal" xfId="0" builtinId="0"/>
    <cellStyle name="Normal 2" xfId="5" xr:uid="{859C5954-923B-449A-BBB9-16FA45A5DDEB}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66"/>
      <color rgb="FF006600"/>
      <color rgb="FF3333FF"/>
      <color rgb="FFD2EEF4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&amp; Net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Summary!$B$6</c:f>
              <c:strCache>
                <c:ptCount val="1"/>
                <c:pt idx="0">
                  <c:v>Revenue</c:v>
                </c:pt>
              </c:strCache>
            </c:strRef>
          </c:tx>
          <c:spPr>
            <a:ln w="38160">
              <a:solidFill>
                <a:srgbClr val="28A0B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Summary!$C$6:$L$6</c:f>
              <c:numCache>
                <c:formatCode>[$₹-4009]\ #,##0.0;\([$₹-4009]\ #,##0.0\);\-</c:formatCode>
                <c:ptCount val="10"/>
                <c:pt idx="0">
                  <c:v>28799</c:v>
                </c:pt>
                <c:pt idx="1">
                  <c:v>40575</c:v>
                </c:pt>
                <c:pt idx="2">
                  <c:v>51084</c:v>
                </c:pt>
                <c:pt idx="3">
                  <c:v>60456</c:v>
                </c:pt>
                <c:pt idx="4">
                  <c:v>87584</c:v>
                </c:pt>
                <c:pt idx="5">
                  <c:v>106852.48</c:v>
                </c:pt>
                <c:pt idx="6">
                  <c:v>125017.40159999998</c:v>
                </c:pt>
                <c:pt idx="7">
                  <c:v>143770.01183999996</c:v>
                </c:pt>
                <c:pt idx="8">
                  <c:v>163897.81349759997</c:v>
                </c:pt>
                <c:pt idx="9">
                  <c:v>185204.52925228796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FB-45E7-B86B-9D2171F4F800}"/>
            </c:ext>
          </c:extLst>
        </c:ser>
        <c:ser>
          <c:idx val="1"/>
          <c:order val="1"/>
          <c:tx>
            <c:strRef>
              <c:f>Summary!$B$10</c:f>
              <c:strCache>
                <c:ptCount val="1"/>
                <c:pt idx="0">
                  <c:v>Net Profit</c:v>
                </c:pt>
              </c:strCache>
            </c:strRef>
          </c:tx>
          <c:spPr>
            <a:ln w="38160">
              <a:solidFill>
                <a:srgbClr val="DA19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Summary!$C$10:$L$10</c:f>
              <c:numCache>
                <c:formatCode>[$₹-4009]\ #,##0.0;\([$₹-4009]\ #,##0.0\);\-</c:formatCode>
                <c:ptCount val="10"/>
                <c:pt idx="0">
                  <c:v>2198</c:v>
                </c:pt>
                <c:pt idx="1">
                  <c:v>3274</c:v>
                </c:pt>
                <c:pt idx="2">
                  <c:v>3496</c:v>
                </c:pt>
                <c:pt idx="3">
                  <c:v>3337</c:v>
                </c:pt>
                <c:pt idx="4">
                  <c:v>5073</c:v>
                </c:pt>
                <c:pt idx="5">
                  <c:v>4791.8190496000016</c:v>
                </c:pt>
                <c:pt idx="6">
                  <c:v>6446.4005503919889</c:v>
                </c:pt>
                <c:pt idx="7">
                  <c:v>7856.3725368809883</c:v>
                </c:pt>
                <c:pt idx="8">
                  <c:v>8881.5866084175468</c:v>
                </c:pt>
                <c:pt idx="9">
                  <c:v>10673.052838967724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FB-45E7-B86B-9D2171F4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047901"/>
        <c:axId val="30763278"/>
      </c:lineChart>
      <c:dateAx>
        <c:axId val="300479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&quot;A&quot;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763278"/>
        <c:crosses val="autoZero"/>
        <c:auto val="1"/>
        <c:lblOffset val="100"/>
        <c:baseTimeUnit val="years"/>
      </c:dateAx>
      <c:valAx>
        <c:axId val="30763278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009]\ #,##0.0;\([$₹-4009]\ #,##0.0\);\-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47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Margin % vs Net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   EBITDA Margin %</c:v>
                </c:pt>
              </c:strCache>
            </c:strRef>
          </c:tx>
          <c:spPr>
            <a:ln w="38160">
              <a:solidFill>
                <a:srgbClr val="28A0B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Summary!$C$9:$L$9</c:f>
              <c:numCache>
                <c:formatCode>0.00%</c:formatCode>
                <c:ptCount val="10"/>
                <c:pt idx="0">
                  <c:v>0.11611514288690579</c:v>
                </c:pt>
                <c:pt idx="1">
                  <c:v>0.12032039433148491</c:v>
                </c:pt>
                <c:pt idx="2">
                  <c:v>0.10359408033826638</c:v>
                </c:pt>
                <c:pt idx="3">
                  <c:v>9.4184200079396582E-2</c:v>
                </c:pt>
                <c:pt idx="4">
                  <c:v>9.5416971136280601E-2</c:v>
                </c:pt>
                <c:pt idx="5">
                  <c:v>9.0000000000000024E-2</c:v>
                </c:pt>
                <c:pt idx="6">
                  <c:v>9.9999999999999895E-2</c:v>
                </c:pt>
                <c:pt idx="7">
                  <c:v>0.10499999999999991</c:v>
                </c:pt>
                <c:pt idx="8">
                  <c:v>0.10500000000000002</c:v>
                </c:pt>
                <c:pt idx="9">
                  <c:v>0.10999999999999995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1EA-B746-B76C7E60A8E6}"/>
            </c:ext>
          </c:extLst>
        </c:ser>
        <c:ser>
          <c:idx val="1"/>
          <c:order val="1"/>
          <c:tx>
            <c:strRef>
              <c:f>Summary!$B$11</c:f>
              <c:strCache>
                <c:ptCount val="1"/>
                <c:pt idx="0">
                  <c:v>   Net Profit Margin %</c:v>
                </c:pt>
              </c:strCache>
            </c:strRef>
          </c:tx>
          <c:spPr>
            <a:ln w="38160">
              <a:solidFill>
                <a:srgbClr val="DA19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Summary!$C$11:$L$11</c:f>
              <c:numCache>
                <c:formatCode>0.00%</c:formatCode>
                <c:ptCount val="10"/>
                <c:pt idx="0">
                  <c:v>7.632209451717073E-2</c:v>
                </c:pt>
                <c:pt idx="1">
                  <c:v>8.0690080098582875E-2</c:v>
                </c:pt>
                <c:pt idx="2">
                  <c:v>6.8436300994440535E-2</c:v>
                </c:pt>
                <c:pt idx="3">
                  <c:v>5.5197168188434564E-2</c:v>
                </c:pt>
                <c:pt idx="4">
                  <c:v>5.792153818048959E-2</c:v>
                </c:pt>
                <c:pt idx="5">
                  <c:v>4.4845183280724996E-2</c:v>
                </c:pt>
                <c:pt idx="6">
                  <c:v>5.1564026030692912E-2</c:v>
                </c:pt>
                <c:pt idx="7">
                  <c:v>5.4645419001733531E-2</c:v>
                </c:pt>
                <c:pt idx="8">
                  <c:v>5.4189780930467411E-2</c:v>
                </c:pt>
                <c:pt idx="9">
                  <c:v>5.7628465578337749E-2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1EA-B746-B76C7E60A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719549"/>
        <c:axId val="43625708"/>
      </c:lineChart>
      <c:dateAx>
        <c:axId val="77719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&quot;A&quot;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625708"/>
        <c:crosses val="autoZero"/>
        <c:auto val="1"/>
        <c:lblOffset val="100"/>
        <c:baseTimeUnit val="years"/>
      </c:dateAx>
      <c:valAx>
        <c:axId val="43625708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19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ROE % vs ROCE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Summary!$B$20</c:f>
              <c:strCache>
                <c:ptCount val="1"/>
                <c:pt idx="0">
                  <c:v>   Return on Equity %</c:v>
                </c:pt>
              </c:strCache>
            </c:strRef>
          </c:tx>
          <c:spPr>
            <a:ln w="38160">
              <a:solidFill>
                <a:srgbClr val="28A0B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Summary!$C$20:$L$20</c:f>
              <c:numCache>
                <c:formatCode>0.00%</c:formatCode>
                <c:ptCount val="10"/>
                <c:pt idx="0">
                  <c:v>0.236267870579383</c:v>
                </c:pt>
                <c:pt idx="1">
                  <c:v>0.27626360644671338</c:v>
                </c:pt>
                <c:pt idx="2">
                  <c:v>0.37219205791546894</c:v>
                </c:pt>
                <c:pt idx="3">
                  <c:v>0.28707845836200963</c:v>
                </c:pt>
                <c:pt idx="4">
                  <c:v>0.32305928803413358</c:v>
                </c:pt>
                <c:pt idx="5">
                  <c:v>0.25018491100007095</c:v>
                </c:pt>
                <c:pt idx="6">
                  <c:v>0.27091956727388045</c:v>
                </c:pt>
                <c:pt idx="7">
                  <c:v>0.26675984414880144</c:v>
                </c:pt>
                <c:pt idx="8">
                  <c:v>0.24777169271647609</c:v>
                </c:pt>
                <c:pt idx="9">
                  <c:v>0.24518592475176704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07-49C1-877A-11A7C86DE2C2}"/>
            </c:ext>
          </c:extLst>
        </c:ser>
        <c:ser>
          <c:idx val="1"/>
          <c:order val="1"/>
          <c:tx>
            <c:strRef>
              <c:f>Summary!$B$21</c:f>
              <c:strCache>
                <c:ptCount val="1"/>
                <c:pt idx="0">
                  <c:v>   Return on Capital Employed %</c:v>
                </c:pt>
              </c:strCache>
            </c:strRef>
          </c:tx>
          <c:spPr>
            <a:ln w="38160">
              <a:solidFill>
                <a:srgbClr val="DA19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Summary!$C$21:$L$21</c:f>
              <c:numCache>
                <c:formatCode>0.00%</c:formatCode>
                <c:ptCount val="10"/>
                <c:pt idx="0">
                  <c:v>0.1776450717818796</c:v>
                </c:pt>
                <c:pt idx="1">
                  <c:v>0.20930342162315016</c:v>
                </c:pt>
                <c:pt idx="2">
                  <c:v>0.18891697764937201</c:v>
                </c:pt>
                <c:pt idx="3">
                  <c:v>0.15434708805283787</c:v>
                </c:pt>
                <c:pt idx="4">
                  <c:v>0.16257231672567135</c:v>
                </c:pt>
                <c:pt idx="5">
                  <c:v>0.14968581029542766</c:v>
                </c:pt>
                <c:pt idx="6">
                  <c:v>0.16522477788067577</c:v>
                </c:pt>
                <c:pt idx="7">
                  <c:v>0.17004195528381827</c:v>
                </c:pt>
                <c:pt idx="8">
                  <c:v>0.16682411995490756</c:v>
                </c:pt>
                <c:pt idx="9">
                  <c:v>0.17314407446543528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07-49C1-877A-11A7C86D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46336"/>
        <c:axId val="83027979"/>
      </c:lineChart>
      <c:dateAx>
        <c:axId val="3446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&quot;A&quot;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027979"/>
        <c:crosses val="autoZero"/>
        <c:auto val="1"/>
        <c:lblOffset val="100"/>
        <c:baseTimeUnit val="years"/>
      </c:dateAx>
      <c:valAx>
        <c:axId val="83027979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6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Borrowings vs. Closing Cash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Summary!$B$17</c:f>
              <c:strCache>
                <c:ptCount val="1"/>
                <c:pt idx="0">
                  <c:v>Total Borrowings</c:v>
                </c:pt>
              </c:strCache>
            </c:strRef>
          </c:tx>
          <c:spPr>
            <a:ln w="38160">
              <a:solidFill>
                <a:srgbClr val="28A0B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Summary!$C$17:$L$17</c:f>
              <c:numCache>
                <c:formatCode>[$₹-4009]\ #,##0.0;\([$₹-4009]\ #,##0.0\);\-</c:formatCode>
                <c:ptCount val="10"/>
                <c:pt idx="0">
                  <c:v>7275</c:v>
                </c:pt>
                <c:pt idx="1">
                  <c:v>9367</c:v>
                </c:pt>
                <c:pt idx="2">
                  <c:v>15528</c:v>
                </c:pt>
                <c:pt idx="3">
                  <c:v>20777</c:v>
                </c:pt>
                <c:pt idx="4">
                  <c:v>30621</c:v>
                </c:pt>
                <c:pt idx="5">
                  <c:v>36132.78</c:v>
                </c:pt>
                <c:pt idx="6">
                  <c:v>41552.696999999993</c:v>
                </c:pt>
                <c:pt idx="7">
                  <c:v>46954.547609999987</c:v>
                </c:pt>
                <c:pt idx="8">
                  <c:v>52119.547847099988</c:v>
                </c:pt>
                <c:pt idx="9">
                  <c:v>56810.307153338988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48-4A72-9E15-EE87E27456ED}"/>
            </c:ext>
          </c:extLst>
        </c:ser>
        <c:ser>
          <c:idx val="1"/>
          <c:order val="1"/>
          <c:tx>
            <c:strRef>
              <c:f>Summary!$B$27</c:f>
              <c:strCache>
                <c:ptCount val="1"/>
                <c:pt idx="0">
                  <c:v>Closing Cash Balance</c:v>
                </c:pt>
              </c:strCache>
            </c:strRef>
          </c:tx>
          <c:spPr>
            <a:ln w="38160">
              <a:solidFill>
                <a:srgbClr val="DA19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Summary!$C$3:$L$3</c:f>
              <c:numCache>
                <c:formatCode>mmm\-yy"A"</c:formatCode>
                <c:ptCount val="10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  <c:pt idx="5" formatCode="mmm\-yy&quot;E&quot;">
                  <c:v>46477</c:v>
                </c:pt>
                <c:pt idx="6" formatCode="mmm\-yy&quot;E&quot;">
                  <c:v>46842</c:v>
                </c:pt>
                <c:pt idx="7" formatCode="mmm\-yy&quot;E&quot;">
                  <c:v>47207</c:v>
                </c:pt>
                <c:pt idx="8" formatCode="mmm\-yy&quot;E&quot;">
                  <c:v>47572</c:v>
                </c:pt>
                <c:pt idx="9" formatCode="mmm\-yy&quot;E&quot;">
                  <c:v>47937</c:v>
                </c:pt>
              </c:numCache>
            </c:numRef>
          </c:cat>
          <c:val>
            <c:numRef>
              <c:f>Summary!$C$27:$L$27</c:f>
              <c:numCache>
                <c:formatCode>[$₹-4009]\ #,##0.0;\([$₹-4009]\ #,##0.0\);\-</c:formatCode>
                <c:ptCount val="10"/>
                <c:pt idx="0">
                  <c:v>1573</c:v>
                </c:pt>
                <c:pt idx="1">
                  <c:v>1343</c:v>
                </c:pt>
                <c:pt idx="2">
                  <c:v>1526</c:v>
                </c:pt>
                <c:pt idx="3">
                  <c:v>1584</c:v>
                </c:pt>
                <c:pt idx="4">
                  <c:v>1917</c:v>
                </c:pt>
                <c:pt idx="5">
                  <c:v>5388.3333595476179</c:v>
                </c:pt>
                <c:pt idx="6">
                  <c:v>7647.7693055558693</c:v>
                </c:pt>
                <c:pt idx="7">
                  <c:v>10364.945574551959</c:v>
                </c:pt>
                <c:pt idx="8">
                  <c:v>12629.890925965325</c:v>
                </c:pt>
                <c:pt idx="9">
                  <c:v>15587.620793335253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48-4A72-9E15-EE87E2745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338361"/>
        <c:axId val="6287890"/>
      </c:lineChart>
      <c:dateAx>
        <c:axId val="41338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&quot;A&quot;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7890"/>
        <c:crosses val="autoZero"/>
        <c:auto val="1"/>
        <c:lblOffset val="100"/>
        <c:baseTimeUnit val="years"/>
      </c:dateAx>
      <c:valAx>
        <c:axId val="6287890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₹-4009]\ #,##0.0;\([$₹-4009]\ #,##0.0\);\-" sourceLinked="1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38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6304110" cy="32395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D1377-E213-4753-B863-8CD59DD1F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6288330" cy="32395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FCD42F-7FBD-4D6B-B002-7C5DF20FE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49</xdr:row>
      <xdr:rowOff>0</xdr:rowOff>
    </xdr:from>
    <xdr:ext cx="6304110" cy="32395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42D600-9DE5-4347-A2C5-AD6C3019A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49</xdr:row>
      <xdr:rowOff>0</xdr:rowOff>
    </xdr:from>
    <xdr:ext cx="6288330" cy="32395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DF27F5-359E-45A0-A682-BDC28FD9F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4580-0918-41EF-B374-3BB855231E96}">
  <sheetPr>
    <tabColor theme="0"/>
  </sheetPr>
  <dimension ref="B2:D33"/>
  <sheetViews>
    <sheetView showGridLines="0" topLeftCell="A16" workbookViewId="0">
      <selection activeCell="C20" sqref="C20"/>
    </sheetView>
  </sheetViews>
  <sheetFormatPr defaultColWidth="8.7109375" defaultRowHeight="15" x14ac:dyDescent="0.25"/>
  <cols>
    <col min="1" max="1" width="4" customWidth="1"/>
    <col min="2" max="2" width="43.5703125" customWidth="1"/>
    <col min="3" max="3" width="95" customWidth="1"/>
  </cols>
  <sheetData>
    <row r="2" spans="2:3" ht="23.25" x14ac:dyDescent="0.35">
      <c r="B2" s="45" t="s">
        <v>154</v>
      </c>
    </row>
    <row r="3" spans="2:3" x14ac:dyDescent="0.25">
      <c r="B3" s="46" t="s">
        <v>183</v>
      </c>
    </row>
    <row r="5" spans="2:3" ht="30" x14ac:dyDescent="0.25">
      <c r="B5" s="47" t="s">
        <v>155</v>
      </c>
      <c r="C5" s="48" t="s">
        <v>156</v>
      </c>
    </row>
    <row r="6" spans="2:3" ht="30" x14ac:dyDescent="0.25">
      <c r="B6" s="47" t="s">
        <v>157</v>
      </c>
      <c r="C6" s="48" t="s">
        <v>158</v>
      </c>
    </row>
    <row r="7" spans="2:3" ht="30" x14ac:dyDescent="0.25">
      <c r="B7" s="47" t="s">
        <v>159</v>
      </c>
      <c r="C7" s="48" t="s">
        <v>160</v>
      </c>
    </row>
    <row r="8" spans="2:3" x14ac:dyDescent="0.25">
      <c r="B8" s="47" t="s">
        <v>161</v>
      </c>
      <c r="C8" s="48" t="s">
        <v>162</v>
      </c>
    </row>
    <row r="10" spans="2:3" x14ac:dyDescent="0.25">
      <c r="B10" s="13" t="s">
        <v>163</v>
      </c>
      <c r="C10" s="13"/>
    </row>
    <row r="11" spans="2:3" x14ac:dyDescent="0.25">
      <c r="B11" s="50">
        <v>1234</v>
      </c>
      <c r="C11" s="49" t="s">
        <v>164</v>
      </c>
    </row>
    <row r="12" spans="2:3" x14ac:dyDescent="0.25">
      <c r="B12" s="51">
        <v>1234</v>
      </c>
      <c r="C12" s="49" t="s">
        <v>165</v>
      </c>
    </row>
    <row r="13" spans="2:3" x14ac:dyDescent="0.25">
      <c r="B13" s="52">
        <v>1234</v>
      </c>
      <c r="C13" s="49" t="s">
        <v>166</v>
      </c>
    </row>
    <row r="14" spans="2:3" x14ac:dyDescent="0.25">
      <c r="B14" s="53">
        <v>1234</v>
      </c>
      <c r="C14" s="49" t="s">
        <v>167</v>
      </c>
    </row>
    <row r="15" spans="2:3" x14ac:dyDescent="0.25">
      <c r="B15" s="54">
        <v>1234</v>
      </c>
      <c r="C15" s="49" t="s">
        <v>168</v>
      </c>
    </row>
    <row r="17" spans="2:4" x14ac:dyDescent="0.25">
      <c r="B17" s="13" t="s">
        <v>169</v>
      </c>
      <c r="C17" s="13"/>
    </row>
    <row r="18" spans="2:4" x14ac:dyDescent="0.25">
      <c r="B18" s="55" t="s">
        <v>176</v>
      </c>
      <c r="C18" s="49" t="s">
        <v>186</v>
      </c>
    </row>
    <row r="19" spans="2:4" x14ac:dyDescent="0.25">
      <c r="B19" s="55" t="s">
        <v>170</v>
      </c>
      <c r="C19" s="49" t="s">
        <v>304</v>
      </c>
    </row>
    <row r="20" spans="2:4" x14ac:dyDescent="0.25">
      <c r="B20" s="55" t="s">
        <v>184</v>
      </c>
      <c r="C20" s="49" t="s">
        <v>265</v>
      </c>
    </row>
    <row r="21" spans="2:4" x14ac:dyDescent="0.25">
      <c r="B21" s="43" t="s">
        <v>185</v>
      </c>
      <c r="C21" s="49" t="s">
        <v>187</v>
      </c>
    </row>
    <row r="22" spans="2:4" x14ac:dyDescent="0.25">
      <c r="B22" s="43" t="s">
        <v>171</v>
      </c>
      <c r="C22" s="49" t="s">
        <v>275</v>
      </c>
    </row>
    <row r="23" spans="2:4" x14ac:dyDescent="0.25">
      <c r="B23" s="43" t="s">
        <v>172</v>
      </c>
      <c r="C23" s="49" t="s">
        <v>188</v>
      </c>
    </row>
    <row r="24" spans="2:4" x14ac:dyDescent="0.25">
      <c r="B24" s="43" t="s">
        <v>173</v>
      </c>
      <c r="C24" s="49" t="s">
        <v>274</v>
      </c>
    </row>
    <row r="25" spans="2:4" x14ac:dyDescent="0.25">
      <c r="B25" s="43" t="s">
        <v>175</v>
      </c>
      <c r="C25" s="49" t="s">
        <v>189</v>
      </c>
      <c r="D25" s="49"/>
    </row>
    <row r="26" spans="2:4" x14ac:dyDescent="0.25">
      <c r="B26" s="43" t="s">
        <v>174</v>
      </c>
      <c r="C26" s="49" t="s">
        <v>190</v>
      </c>
      <c r="D26" s="49"/>
    </row>
    <row r="28" spans="2:4" x14ac:dyDescent="0.25">
      <c r="B28" s="13" t="s">
        <v>177</v>
      </c>
      <c r="C28" s="13"/>
    </row>
    <row r="29" spans="2:4" ht="27.75" customHeight="1" x14ac:dyDescent="0.25">
      <c r="C29" s="48" t="s">
        <v>178</v>
      </c>
    </row>
    <row r="30" spans="2:4" ht="27.75" customHeight="1" x14ac:dyDescent="0.25">
      <c r="C30" s="48" t="s">
        <v>179</v>
      </c>
    </row>
    <row r="31" spans="2:4" ht="27.75" customHeight="1" x14ac:dyDescent="0.25">
      <c r="C31" s="48" t="s">
        <v>180</v>
      </c>
    </row>
    <row r="32" spans="2:4" ht="27.75" customHeight="1" x14ac:dyDescent="0.25">
      <c r="C32" s="48" t="s">
        <v>181</v>
      </c>
    </row>
    <row r="33" spans="3:3" ht="27.75" customHeight="1" x14ac:dyDescent="0.25">
      <c r="C33" s="48" t="s">
        <v>182</v>
      </c>
    </row>
  </sheetData>
  <hyperlinks>
    <hyperlink ref="B20" location="'Historical FS'!A1" display="Historical FS" xr:uid="{093649BA-A496-4432-A81F-345472A3D7F1}"/>
    <hyperlink ref="B19" location="Assumptions!A1" display="Assumptions" xr:uid="{725C1CED-9624-49F2-8258-A9309FB96CF1}"/>
    <hyperlink ref="B21" location="Forcasting!A1" display="Forcasting" xr:uid="{71EF6C3A-F341-4C39-B93E-9B69253602C3}"/>
    <hyperlink ref="B23" location="'WC Schedule'!A1" display="WC_Schedule" xr:uid="{B2962645-F605-47F3-9A54-2E9D7D60E5DF}"/>
    <hyperlink ref="B24" location="'Debt Schedule'!A1" display="Debt_Schedule" xr:uid="{E7B45C5A-B679-4D99-955E-C47E0D9735E9}"/>
    <hyperlink ref="B26" location="Checks!A1" display="Checks" xr:uid="{5F4706F5-8CBD-4643-B225-A6FF4C1B8EFD}"/>
    <hyperlink ref="B25" location="'Ratio Analysis'!A1" display="Ratios" xr:uid="{2DC6BD17-BF6B-4C83-B8DB-BFB421D5F789}"/>
    <hyperlink ref="B18" location="Summary!A1" display="Summary" xr:uid="{8150F9C0-5EC7-4A3F-901F-CDEB3833D7ED}"/>
    <hyperlink ref="B22" location="'FA Schedule'!A1" display="FA_Schedule" xr:uid="{16AF0658-6385-4FD7-B0DE-8F213BC748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7BFE-392E-421C-A8EF-ED4A440EDF75}">
  <dimension ref="A2:O2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ColWidth="8.7109375" defaultRowHeight="15" x14ac:dyDescent="0.25"/>
  <cols>
    <col min="1" max="1" width="1.85546875" style="132" customWidth="1"/>
    <col min="2" max="2" width="34" style="132" customWidth="1"/>
    <col min="3" max="12" width="13.42578125" style="132" customWidth="1"/>
    <col min="13" max="13" width="3" style="132" customWidth="1"/>
    <col min="14" max="14" width="26" style="132" customWidth="1"/>
    <col min="15" max="15" width="16" style="132" customWidth="1"/>
    <col min="16" max="16384" width="8.7109375" style="132"/>
  </cols>
  <sheetData>
    <row r="2" spans="1:15" ht="25.5" customHeight="1" x14ac:dyDescent="0.25">
      <c r="B2" s="148" t="str">
        <f>"EXECUTIVE SUMMARY  —  " &amp; 'Data Sheet'!B1</f>
        <v>EXECUTIVE SUMMARY  —  TITAN COMPANY LTD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5" x14ac:dyDescent="0.25">
      <c r="B3" s="145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</row>
    <row r="4" spans="1:15" x14ac:dyDescent="0.25">
      <c r="B4" s="146" t="s">
        <v>303</v>
      </c>
    </row>
    <row r="5" spans="1:15" x14ac:dyDescent="0.25">
      <c r="A5" s="139" t="s">
        <v>81</v>
      </c>
      <c r="B5" s="56" t="s">
        <v>302</v>
      </c>
      <c r="C5" s="56"/>
      <c r="D5" s="56"/>
      <c r="E5" s="56"/>
      <c r="F5" s="56"/>
      <c r="G5" s="56"/>
      <c r="H5" s="56"/>
      <c r="I5" s="56"/>
      <c r="J5" s="56"/>
      <c r="K5" s="56"/>
      <c r="L5" s="56"/>
      <c r="N5" s="149" t="s">
        <v>301</v>
      </c>
      <c r="O5" s="149"/>
    </row>
    <row r="6" spans="1:15" x14ac:dyDescent="0.25">
      <c r="B6" s="134" t="s">
        <v>300</v>
      </c>
      <c r="C6" s="136">
        <f>Forcasting!C6</f>
        <v>28799</v>
      </c>
      <c r="D6" s="136">
        <f>Forcasting!D6</f>
        <v>40575</v>
      </c>
      <c r="E6" s="136">
        <f>Forcasting!E6</f>
        <v>51084</v>
      </c>
      <c r="F6" s="136">
        <f>Forcasting!F6</f>
        <v>60456</v>
      </c>
      <c r="G6" s="136">
        <f>Forcasting!G6</f>
        <v>87584</v>
      </c>
      <c r="H6" s="136">
        <f>Forcasting!H6</f>
        <v>106852.48</v>
      </c>
      <c r="I6" s="136">
        <f>Forcasting!I6</f>
        <v>125017.40159999998</v>
      </c>
      <c r="J6" s="136">
        <f>Forcasting!J6</f>
        <v>143770.01183999996</v>
      </c>
      <c r="K6" s="136">
        <f>Forcasting!K6</f>
        <v>163897.81349759997</v>
      </c>
      <c r="L6" s="136">
        <f>Forcasting!L6</f>
        <v>185204.52925228796</v>
      </c>
      <c r="N6" s="134" t="s">
        <v>299</v>
      </c>
      <c r="O6" s="142">
        <f>'Data Sheet'!B8</f>
        <v>4815</v>
      </c>
    </row>
    <row r="7" spans="1:15" x14ac:dyDescent="0.25">
      <c r="B7" s="134" t="s">
        <v>298</v>
      </c>
      <c r="C7" s="135">
        <f>Forcasting!C7</f>
        <v>0</v>
      </c>
      <c r="D7" s="135">
        <f>Forcasting!D7</f>
        <v>0.40890308691274013</v>
      </c>
      <c r="E7" s="135">
        <f>Forcasting!E7</f>
        <v>0.25900184842883545</v>
      </c>
      <c r="F7" s="135">
        <f>Forcasting!F7</f>
        <v>0.18346253229974163</v>
      </c>
      <c r="G7" s="135">
        <f>Forcasting!G7</f>
        <v>0.448723038242689</v>
      </c>
      <c r="H7" s="135">
        <f>Forcasting!H7</f>
        <v>0.22</v>
      </c>
      <c r="I7" s="135">
        <f>Forcasting!I7</f>
        <v>0.17</v>
      </c>
      <c r="J7" s="135">
        <f>Forcasting!J7</f>
        <v>0.15</v>
      </c>
      <c r="K7" s="135">
        <f>Forcasting!K7</f>
        <v>0.14000000000000001</v>
      </c>
      <c r="L7" s="135">
        <f>Forcasting!L7</f>
        <v>0.13</v>
      </c>
      <c r="N7" s="134" t="s">
        <v>297</v>
      </c>
      <c r="O7" s="136">
        <f>'Data Sheet'!B9</f>
        <v>427469.02</v>
      </c>
    </row>
    <row r="8" spans="1:15" x14ac:dyDescent="0.25">
      <c r="B8" s="134" t="s">
        <v>65</v>
      </c>
      <c r="C8" s="136">
        <f>Forcasting!C18</f>
        <v>3344</v>
      </c>
      <c r="D8" s="136">
        <f>Forcasting!D18</f>
        <v>4882</v>
      </c>
      <c r="E8" s="136">
        <f>Forcasting!E18</f>
        <v>5292</v>
      </c>
      <c r="F8" s="136">
        <f>Forcasting!F18</f>
        <v>5694</v>
      </c>
      <c r="G8" s="136">
        <f>Forcasting!G18</f>
        <v>8357</v>
      </c>
      <c r="H8" s="136">
        <f>Forcasting!H18</f>
        <v>9616.7232000000022</v>
      </c>
      <c r="I8" s="136">
        <f>Forcasting!I18</f>
        <v>12501.740159999985</v>
      </c>
      <c r="J8" s="136">
        <f>Forcasting!J18</f>
        <v>15095.851243199984</v>
      </c>
      <c r="K8" s="136">
        <f>Forcasting!K18</f>
        <v>17209.270417248001</v>
      </c>
      <c r="L8" s="136">
        <f>Forcasting!L18</f>
        <v>20372.498217751665</v>
      </c>
      <c r="N8" s="134" t="s">
        <v>296</v>
      </c>
      <c r="O8" s="144">
        <f>'Data Sheet'!B6</f>
        <v>88.77861266874352</v>
      </c>
    </row>
    <row r="9" spans="1:15" x14ac:dyDescent="0.25">
      <c r="B9" s="134" t="s">
        <v>295</v>
      </c>
      <c r="C9" s="135">
        <f>Forcasting!C19</f>
        <v>0.11611514288690579</v>
      </c>
      <c r="D9" s="135">
        <f>Forcasting!D19</f>
        <v>0.12032039433148491</v>
      </c>
      <c r="E9" s="135">
        <f>Forcasting!E19</f>
        <v>0.10359408033826638</v>
      </c>
      <c r="F9" s="135">
        <f>Forcasting!F19</f>
        <v>9.4184200079396582E-2</v>
      </c>
      <c r="G9" s="135">
        <f>Forcasting!G19</f>
        <v>9.5416971136280601E-2</v>
      </c>
      <c r="H9" s="135">
        <f>Forcasting!H19</f>
        <v>9.0000000000000024E-2</v>
      </c>
      <c r="I9" s="135">
        <f>Forcasting!I19</f>
        <v>9.9999999999999895E-2</v>
      </c>
      <c r="J9" s="135">
        <f>Forcasting!J19</f>
        <v>0.10499999999999991</v>
      </c>
      <c r="K9" s="135">
        <f>Forcasting!K19</f>
        <v>0.10500000000000002</v>
      </c>
      <c r="L9" s="135">
        <f>Forcasting!L19</f>
        <v>0.10999999999999995</v>
      </c>
      <c r="N9" s="134" t="s">
        <v>294</v>
      </c>
      <c r="O9" s="143">
        <f>IFERROR(O6/Forcasting!G41,0)</f>
        <v>84.264872856298055</v>
      </c>
    </row>
    <row r="10" spans="1:15" x14ac:dyDescent="0.25">
      <c r="B10" s="138" t="s">
        <v>72</v>
      </c>
      <c r="C10" s="137">
        <f>Forcasting!C36</f>
        <v>2198</v>
      </c>
      <c r="D10" s="137">
        <f>Forcasting!D36</f>
        <v>3274</v>
      </c>
      <c r="E10" s="137">
        <f>Forcasting!E36</f>
        <v>3496</v>
      </c>
      <c r="F10" s="137">
        <f>Forcasting!F36</f>
        <v>3337</v>
      </c>
      <c r="G10" s="137">
        <f>Forcasting!G36</f>
        <v>5073</v>
      </c>
      <c r="H10" s="137">
        <f>Forcasting!H36</f>
        <v>4791.8190496000016</v>
      </c>
      <c r="I10" s="137">
        <f>Forcasting!I36</f>
        <v>6446.4005503919889</v>
      </c>
      <c r="J10" s="137">
        <f>Forcasting!J36</f>
        <v>7856.3725368809883</v>
      </c>
      <c r="K10" s="137">
        <f>Forcasting!K36</f>
        <v>8881.5866084175468</v>
      </c>
      <c r="L10" s="137">
        <f>Forcasting!L36</f>
        <v>10673.052838967724</v>
      </c>
      <c r="N10" s="134" t="s">
        <v>293</v>
      </c>
      <c r="O10" s="143">
        <f>IFERROR(O6/((Forcasting!G50+Forcasting!G51)/Forcasting!G39),0)</f>
        <v>27.222549831242439</v>
      </c>
    </row>
    <row r="11" spans="1:15" x14ac:dyDescent="0.25">
      <c r="B11" s="134" t="s">
        <v>292</v>
      </c>
      <c r="C11" s="135">
        <f>Forcasting!C37</f>
        <v>7.632209451717073E-2</v>
      </c>
      <c r="D11" s="135">
        <f>Forcasting!D37</f>
        <v>8.0690080098582875E-2</v>
      </c>
      <c r="E11" s="135">
        <f>Forcasting!E37</f>
        <v>6.8436300994440535E-2</v>
      </c>
      <c r="F11" s="135">
        <f>Forcasting!F37</f>
        <v>5.5197168188434564E-2</v>
      </c>
      <c r="G11" s="135">
        <f>Forcasting!G37</f>
        <v>5.792153818048959E-2</v>
      </c>
      <c r="H11" s="135">
        <f>Forcasting!H37</f>
        <v>4.4845183280724996E-2</v>
      </c>
      <c r="I11" s="135">
        <f>Forcasting!I37</f>
        <v>5.1564026030692912E-2</v>
      </c>
      <c r="J11" s="135">
        <f>Forcasting!J37</f>
        <v>5.4645419001733531E-2</v>
      </c>
      <c r="K11" s="135">
        <f>Forcasting!K37</f>
        <v>5.4189780930467411E-2</v>
      </c>
      <c r="L11" s="135">
        <f>Forcasting!L37</f>
        <v>5.7628465578337749E-2</v>
      </c>
      <c r="N11" s="134" t="s">
        <v>291</v>
      </c>
      <c r="O11" s="143">
        <f>IFERROR((Forcasting!G52-Forcasting!G68)/Forcasting!G18,0)</f>
        <v>3.4347253799210242</v>
      </c>
    </row>
    <row r="12" spans="1:15" x14ac:dyDescent="0.25">
      <c r="B12" s="134" t="s">
        <v>290</v>
      </c>
      <c r="C12" s="142">
        <f>Forcasting!C41</f>
        <v>24.757828339716152</v>
      </c>
      <c r="D12" s="142">
        <f>Forcasting!D41</f>
        <v>36.877675152061272</v>
      </c>
      <c r="E12" s="142">
        <f>Forcasting!E41</f>
        <v>39.37823834196891</v>
      </c>
      <c r="F12" s="142">
        <f>Forcasting!F41</f>
        <v>37.58729443568371</v>
      </c>
      <c r="G12" s="142">
        <f>Forcasting!G41</f>
        <v>57.141248028835321</v>
      </c>
      <c r="H12" s="142">
        <f>Forcasting!H41</f>
        <v>53.974926004752355</v>
      </c>
      <c r="I12" s="142">
        <f>Forcasting!I41</f>
        <v>72.61208929278061</v>
      </c>
      <c r="J12" s="142">
        <f>Forcasting!J41</f>
        <v>88.493977329823707</v>
      </c>
      <c r="K12" s="142">
        <f>Forcasting!K41</f>
        <v>100.0419621509191</v>
      </c>
      <c r="L12" s="142">
        <f>Forcasting!L41</f>
        <v>120.22099149928943</v>
      </c>
    </row>
    <row r="13" spans="1:15" x14ac:dyDescent="0.25">
      <c r="B13" s="134" t="s">
        <v>289</v>
      </c>
      <c r="C13" s="142">
        <f>Forcasting!C44</f>
        <v>7.5185852669520159</v>
      </c>
      <c r="D13" s="142">
        <f>Forcasting!D44</f>
        <v>10.024780355936022</v>
      </c>
      <c r="E13" s="142">
        <f>Forcasting!E44</f>
        <v>11.027258391529625</v>
      </c>
      <c r="F13" s="142">
        <f>Forcasting!F44</f>
        <v>11.027258391529625</v>
      </c>
      <c r="G13" s="142">
        <f>Forcasting!G44</f>
        <v>15.037170533904032</v>
      </c>
      <c r="H13" s="142">
        <f>Forcasting!H44</f>
        <v>15.112979281330661</v>
      </c>
      <c r="I13" s="142">
        <f>Forcasting!I44</f>
        <v>20.331385001978571</v>
      </c>
      <c r="J13" s="142">
        <f>Forcasting!J44</f>
        <v>24.77831365235064</v>
      </c>
      <c r="K13" s="142">
        <f>Forcasting!K44</f>
        <v>28.011749402257351</v>
      </c>
      <c r="L13" s="142">
        <f>Forcasting!L44</f>
        <v>33.661877619801039</v>
      </c>
      <c r="N13" s="149" t="s">
        <v>288</v>
      </c>
      <c r="O13" s="149"/>
    </row>
    <row r="14" spans="1:15" ht="15.75" x14ac:dyDescent="0.25">
      <c r="N14" s="139" t="s">
        <v>287</v>
      </c>
      <c r="O14" s="141" t="str">
        <f>Checks!C13</f>
        <v>ALL CHECKS OK</v>
      </c>
    </row>
    <row r="15" spans="1:15" x14ac:dyDescent="0.25">
      <c r="A15" s="139" t="s">
        <v>81</v>
      </c>
      <c r="B15" s="56" t="s">
        <v>286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N15" s="147"/>
      <c r="O15" s="147"/>
    </row>
    <row r="16" spans="1:15" x14ac:dyDescent="0.25">
      <c r="B16" s="134" t="s">
        <v>87</v>
      </c>
      <c r="C16" s="136">
        <f>Forcasting!C71</f>
        <v>21188</v>
      </c>
      <c r="D16" s="136">
        <f>Forcasting!D71</f>
        <v>27020</v>
      </c>
      <c r="E16" s="136">
        <f>Forcasting!E71</f>
        <v>31547</v>
      </c>
      <c r="F16" s="136">
        <f>Forcasting!F71</f>
        <v>40645</v>
      </c>
      <c r="G16" s="136">
        <f>Forcasting!G71</f>
        <v>60561</v>
      </c>
      <c r="H16" s="136">
        <f>Forcasting!H71</f>
        <v>71708.969518451733</v>
      </c>
      <c r="I16" s="136">
        <f>Forcasting!I71</f>
        <v>84510.841466843543</v>
      </c>
      <c r="J16" s="136">
        <f>Forcasting!J71</f>
        <v>98414.282473370433</v>
      </c>
      <c r="K16" s="136">
        <f>Forcasting!K71</f>
        <v>113055.23306200615</v>
      </c>
      <c r="L16" s="136">
        <f>Forcasting!L71</f>
        <v>128654.2134344917</v>
      </c>
      <c r="N16" s="147"/>
      <c r="O16" s="147"/>
    </row>
    <row r="17" spans="1:12" x14ac:dyDescent="0.25">
      <c r="B17" s="134" t="s">
        <v>285</v>
      </c>
      <c r="C17" s="136">
        <f>Forcasting!C52</f>
        <v>7275</v>
      </c>
      <c r="D17" s="136">
        <f>Forcasting!D52</f>
        <v>9367</v>
      </c>
      <c r="E17" s="136">
        <f>Forcasting!E52</f>
        <v>15528</v>
      </c>
      <c r="F17" s="136">
        <f>Forcasting!F52</f>
        <v>20777</v>
      </c>
      <c r="G17" s="136">
        <f>Forcasting!G52</f>
        <v>30621</v>
      </c>
      <c r="H17" s="136">
        <f>Forcasting!H52</f>
        <v>36132.78</v>
      </c>
      <c r="I17" s="136">
        <f>Forcasting!I52</f>
        <v>41552.696999999993</v>
      </c>
      <c r="J17" s="136">
        <f>Forcasting!J52</f>
        <v>46954.547609999987</v>
      </c>
      <c r="K17" s="136">
        <f>Forcasting!K52</f>
        <v>52119.547847099988</v>
      </c>
      <c r="L17" s="136">
        <f>Forcasting!L52</f>
        <v>56810.307153338988</v>
      </c>
    </row>
    <row r="18" spans="1:12" x14ac:dyDescent="0.25">
      <c r="B18" s="134" t="s">
        <v>284</v>
      </c>
      <c r="C18" s="136">
        <f>Forcasting!C52-Forcasting!C68</f>
        <v>5702</v>
      </c>
      <c r="D18" s="136">
        <f>Forcasting!D52-Forcasting!D68</f>
        <v>8024</v>
      </c>
      <c r="E18" s="136">
        <f>Forcasting!E52-Forcasting!E68</f>
        <v>14002</v>
      </c>
      <c r="F18" s="136">
        <f>Forcasting!F52-Forcasting!F68</f>
        <v>19193</v>
      </c>
      <c r="G18" s="136">
        <f>Forcasting!G52-Forcasting!G68</f>
        <v>28704</v>
      </c>
      <c r="H18" s="136">
        <f>Forcasting!H52-Forcasting!H68</f>
        <v>30744.446640452381</v>
      </c>
      <c r="I18" s="136">
        <f>Forcasting!I52-Forcasting!I68</f>
        <v>33904.927694444123</v>
      </c>
      <c r="J18" s="136">
        <f>Forcasting!J52-Forcasting!J68</f>
        <v>36589.602035448028</v>
      </c>
      <c r="K18" s="136">
        <f>Forcasting!K52-Forcasting!K68</f>
        <v>39489.656921134665</v>
      </c>
      <c r="L18" s="136">
        <f>Forcasting!L52-Forcasting!L68</f>
        <v>41222.686360003732</v>
      </c>
    </row>
    <row r="19" spans="1:12" x14ac:dyDescent="0.25">
      <c r="B19" s="134" t="s">
        <v>283</v>
      </c>
      <c r="C19" s="140">
        <f>Forcasting!C52/SUM(Forcasting!C50:C51)</f>
        <v>0.78200580457916802</v>
      </c>
      <c r="D19" s="140">
        <f>Forcasting!D52/SUM(Forcasting!D50:D51)</f>
        <v>0.79039743481562741</v>
      </c>
      <c r="E19" s="140">
        <f>Forcasting!E52/SUM(Forcasting!E50:E51)</f>
        <v>1.653145959757266</v>
      </c>
      <c r="F19" s="140">
        <f>Forcasting!F52/SUM(Forcasting!F50:F51)</f>
        <v>1.7874225739848588</v>
      </c>
      <c r="G19" s="140">
        <f>Forcasting!G52/SUM(Forcasting!G50:G51)</f>
        <v>1.9500095523148444</v>
      </c>
      <c r="H19" s="140">
        <f>Forcasting!H52/SUM(Forcasting!H50:H51)</f>
        <v>1.8865228955671334</v>
      </c>
      <c r="I19" s="140">
        <f>Forcasting!I52/SUM(Forcasting!I50:I51)</f>
        <v>1.7463138696242095</v>
      </c>
      <c r="J19" s="140">
        <f>Forcasting!J52/SUM(Forcasting!J50:J51)</f>
        <v>1.5943220288652176</v>
      </c>
      <c r="K19" s="140">
        <f>Forcasting!K52/SUM(Forcasting!K50:K51)</f>
        <v>1.4539911800729717</v>
      </c>
      <c r="L19" s="140">
        <f>Forcasting!L52/SUM(Forcasting!L50:L51)</f>
        <v>1.3050706208412757</v>
      </c>
    </row>
    <row r="20" spans="1:12" x14ac:dyDescent="0.25">
      <c r="B20" s="134" t="s">
        <v>282</v>
      </c>
      <c r="C20" s="135">
        <f>'Ratio Analysis'!C23</f>
        <v>0.236267870579383</v>
      </c>
      <c r="D20" s="135">
        <f>'Ratio Analysis'!D23</f>
        <v>0.27626360644671338</v>
      </c>
      <c r="E20" s="135">
        <f>'Ratio Analysis'!E23</f>
        <v>0.37219205791546894</v>
      </c>
      <c r="F20" s="135">
        <f>'Ratio Analysis'!F23</f>
        <v>0.28707845836200963</v>
      </c>
      <c r="G20" s="135">
        <f>'Ratio Analysis'!G23</f>
        <v>0.32305928803413358</v>
      </c>
      <c r="H20" s="135">
        <f>'Ratio Analysis'!H23</f>
        <v>0.25018491100007095</v>
      </c>
      <c r="I20" s="135">
        <f>'Ratio Analysis'!I23</f>
        <v>0.27091956727388045</v>
      </c>
      <c r="J20" s="135">
        <f>'Ratio Analysis'!J23</f>
        <v>0.26675984414880144</v>
      </c>
      <c r="K20" s="135">
        <f>'Ratio Analysis'!K23</f>
        <v>0.24777169271647609</v>
      </c>
      <c r="L20" s="135">
        <f>'Ratio Analysis'!L23</f>
        <v>0.24518592475176704</v>
      </c>
    </row>
    <row r="21" spans="1:12" x14ac:dyDescent="0.25">
      <c r="B21" s="134" t="s">
        <v>281</v>
      </c>
      <c r="C21" s="135">
        <f>'Ratio Analysis'!C21</f>
        <v>0.1776450717818796</v>
      </c>
      <c r="D21" s="135">
        <f>'Ratio Analysis'!D21</f>
        <v>0.20930342162315016</v>
      </c>
      <c r="E21" s="135">
        <f>'Ratio Analysis'!E21</f>
        <v>0.18891697764937201</v>
      </c>
      <c r="F21" s="135">
        <f>'Ratio Analysis'!F21</f>
        <v>0.15434708805283787</v>
      </c>
      <c r="G21" s="135">
        <f>'Ratio Analysis'!G21</f>
        <v>0.16257231672567135</v>
      </c>
      <c r="H21" s="135">
        <f>'Ratio Analysis'!H21</f>
        <v>0.14968581029542766</v>
      </c>
      <c r="I21" s="135">
        <f>'Ratio Analysis'!I21</f>
        <v>0.16522477788067577</v>
      </c>
      <c r="J21" s="135">
        <f>'Ratio Analysis'!J21</f>
        <v>0.17004195528381827</v>
      </c>
      <c r="K21" s="135">
        <f>'Ratio Analysis'!K21</f>
        <v>0.16682411995490756</v>
      </c>
      <c r="L21" s="135">
        <f>'Ratio Analysis'!L21</f>
        <v>0.17314407446543528</v>
      </c>
    </row>
    <row r="23" spans="1:12" x14ac:dyDescent="0.25">
      <c r="A23" s="139" t="s">
        <v>81</v>
      </c>
      <c r="B23" s="56" t="s">
        <v>280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1:12" x14ac:dyDescent="0.25">
      <c r="B24" s="134" t="s">
        <v>150</v>
      </c>
      <c r="C24" s="136">
        <f>Forcasting!C85</f>
        <v>-724</v>
      </c>
      <c r="D24" s="136">
        <f>Forcasting!D85</f>
        <v>1370</v>
      </c>
      <c r="E24" s="136">
        <f>Forcasting!E85</f>
        <v>1695</v>
      </c>
      <c r="F24" s="136">
        <f>Forcasting!F85</f>
        <v>-541</v>
      </c>
      <c r="G24" s="136">
        <f>Forcasting!G85</f>
        <v>5590</v>
      </c>
      <c r="H24" s="136">
        <f>Forcasting!H85</f>
        <v>2506.8370934356199</v>
      </c>
      <c r="I24" s="136">
        <f>Forcasting!I85</f>
        <v>2395.0331481180133</v>
      </c>
      <c r="J24" s="136">
        <f>Forcasting!J85</f>
        <v>3828.2103245227709</v>
      </c>
      <c r="K24" s="136">
        <f>Forcasting!K85</f>
        <v>4503.7237695982767</v>
      </c>
      <c r="L24" s="136">
        <f>Forcasting!L85</f>
        <v>6811.5612336105278</v>
      </c>
    </row>
    <row r="25" spans="1:12" x14ac:dyDescent="0.25">
      <c r="B25" s="134" t="s">
        <v>279</v>
      </c>
      <c r="C25" s="136">
        <f>'FA Schedule'!C7</f>
        <v>420</v>
      </c>
      <c r="D25" s="136">
        <f>'FA Schedule'!D7</f>
        <v>895</v>
      </c>
      <c r="E25" s="136">
        <f>'FA Schedule'!E7</f>
        <v>1295</v>
      </c>
      <c r="F25" s="136">
        <f>'FA Schedule'!F7</f>
        <v>1046</v>
      </c>
      <c r="G25" s="136">
        <f>'FA Schedule'!G7</f>
        <v>3642</v>
      </c>
      <c r="H25" s="136">
        <f>'FA Schedule'!H7</f>
        <v>3205.5744</v>
      </c>
      <c r="I25" s="136">
        <f>'FA Schedule'!I7</f>
        <v>3750.5220479999994</v>
      </c>
      <c r="J25" s="136">
        <f>'FA Schedule'!J7</f>
        <v>4313.1003551999984</v>
      </c>
      <c r="K25" s="136">
        <f>'FA Schedule'!K7</f>
        <v>4916.9344049279989</v>
      </c>
      <c r="L25" s="136">
        <f>'FA Schedule'!L7</f>
        <v>5556.1358775686385</v>
      </c>
    </row>
    <row r="26" spans="1:12" x14ac:dyDescent="0.25">
      <c r="B26" s="138" t="s">
        <v>278</v>
      </c>
      <c r="C26" s="137">
        <f>Forcasting!C103</f>
        <v>-1144</v>
      </c>
      <c r="D26" s="137">
        <f>Forcasting!D103</f>
        <v>475</v>
      </c>
      <c r="E26" s="137">
        <f>Forcasting!E103</f>
        <v>400</v>
      </c>
      <c r="F26" s="137">
        <f>Forcasting!F103</f>
        <v>-1587</v>
      </c>
      <c r="G26" s="137">
        <f>Forcasting!G103</f>
        <v>1948</v>
      </c>
      <c r="H26" s="137">
        <f>Forcasting!H103</f>
        <v>-698.73730656438011</v>
      </c>
      <c r="I26" s="137">
        <f>Forcasting!I103</f>
        <v>-1355.4888998819861</v>
      </c>
      <c r="J26" s="137">
        <f>Forcasting!J103</f>
        <v>-484.89003067722751</v>
      </c>
      <c r="K26" s="137">
        <f>Forcasting!K103</f>
        <v>-413.21063532972221</v>
      </c>
      <c r="L26" s="137">
        <f>Forcasting!L103</f>
        <v>1255.4253560418892</v>
      </c>
    </row>
    <row r="27" spans="1:12" x14ac:dyDescent="0.25">
      <c r="B27" s="134" t="s">
        <v>263</v>
      </c>
      <c r="C27" s="136">
        <f>Forcasting!C101</f>
        <v>1573</v>
      </c>
      <c r="D27" s="136">
        <f>Forcasting!D101</f>
        <v>1343</v>
      </c>
      <c r="E27" s="136">
        <f>Forcasting!E101</f>
        <v>1526</v>
      </c>
      <c r="F27" s="136">
        <f>Forcasting!F101</f>
        <v>1584</v>
      </c>
      <c r="G27" s="136">
        <f>Forcasting!G101</f>
        <v>1917</v>
      </c>
      <c r="H27" s="136">
        <f>Forcasting!H101</f>
        <v>5388.3333595476179</v>
      </c>
      <c r="I27" s="136">
        <f>Forcasting!I101</f>
        <v>7647.7693055558693</v>
      </c>
      <c r="J27" s="136">
        <f>Forcasting!J101</f>
        <v>10364.945574551959</v>
      </c>
      <c r="K27" s="136">
        <f>Forcasting!K101</f>
        <v>12629.890925965325</v>
      </c>
      <c r="L27" s="136">
        <f>Forcasting!L101</f>
        <v>15587.620793335253</v>
      </c>
    </row>
    <row r="28" spans="1:12" x14ac:dyDescent="0.25">
      <c r="B28" s="134" t="s">
        <v>277</v>
      </c>
      <c r="C28" s="135">
        <f>'Debt Schedule'!C16</f>
        <v>0.29035118836466833</v>
      </c>
      <c r="D28" s="135">
        <f>'Debt Schedule'!D16</f>
        <v>0.28756013745704467</v>
      </c>
      <c r="E28" s="135">
        <f>'Debt Schedule'!E16</f>
        <v>0.65773460019216401</v>
      </c>
      <c r="F28" s="135">
        <f>'Debt Schedule'!F16</f>
        <v>0.33803451828954145</v>
      </c>
      <c r="G28" s="135">
        <f>'Debt Schedule'!G16</f>
        <v>0.47379313664147849</v>
      </c>
      <c r="H28" s="135">
        <f>'Debt Schedule'!H16</f>
        <v>0.17999999999999994</v>
      </c>
      <c r="I28" s="135">
        <f>'Debt Schedule'!I16</f>
        <v>0.14999999999999991</v>
      </c>
      <c r="J28" s="135">
        <f>'Debt Schedule'!J16</f>
        <v>0.12999999999999989</v>
      </c>
      <c r="K28" s="135">
        <f>'Debt Schedule'!K16</f>
        <v>0.1100000000000001</v>
      </c>
      <c r="L28" s="135">
        <f>'Debt Schedule'!L16</f>
        <v>9.000000000000008E-2</v>
      </c>
    </row>
    <row r="29" spans="1:12" x14ac:dyDescent="0.25">
      <c r="B29" s="134" t="s">
        <v>276</v>
      </c>
      <c r="C29" s="133">
        <f>'Ratio Analysis'!C36</f>
        <v>200.70120490294801</v>
      </c>
      <c r="D29" s="133">
        <f>'Ratio Analysis'!D36</f>
        <v>179.77574205446038</v>
      </c>
      <c r="E29" s="133">
        <f>'Ratio Analysis'!E36</f>
        <v>161.81875693603234</v>
      </c>
      <c r="F29" s="133">
        <f>'Ratio Analysis'!F36</f>
        <v>197.76946093267054</v>
      </c>
      <c r="G29" s="133">
        <f>'Ratio Analysis'!G36</f>
        <v>201.96107280884942</v>
      </c>
      <c r="H29" s="133">
        <f>'Ratio Analysis'!H36</f>
        <v>186</v>
      </c>
      <c r="I29" s="133">
        <f>'Ratio Analysis'!I36</f>
        <v>186</v>
      </c>
      <c r="J29" s="133">
        <f>'Ratio Analysis'!J36</f>
        <v>186.00000000000003</v>
      </c>
      <c r="K29" s="133">
        <f>'Ratio Analysis'!K36</f>
        <v>186.00000000000003</v>
      </c>
      <c r="L29" s="133">
        <f>'Ratio Analysis'!L36</f>
        <v>186.00000000000003</v>
      </c>
    </row>
  </sheetData>
  <mergeCells count="5">
    <mergeCell ref="N16:O16"/>
    <mergeCell ref="B2:L2"/>
    <mergeCell ref="N5:O5"/>
    <mergeCell ref="N13:O13"/>
    <mergeCell ref="N15:O1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ADB7-4E04-4DF4-A5F1-FD500E428DEE}">
  <sheetPr>
    <tabColor rgb="FFFFFF00"/>
  </sheetPr>
  <dimension ref="A2:M32"/>
  <sheetViews>
    <sheetView showGridLines="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C23" sqref="C23"/>
    </sheetView>
  </sheetViews>
  <sheetFormatPr defaultRowHeight="15" x14ac:dyDescent="0.25"/>
  <cols>
    <col min="1" max="1" width="1.85546875" customWidth="1"/>
    <col min="2" max="2" width="45" bestFit="1" customWidth="1"/>
    <col min="3" max="7" width="12.85546875" customWidth="1"/>
    <col min="8" max="8" width="58.5703125" customWidth="1"/>
  </cols>
  <sheetData>
    <row r="2" spans="1:13" ht="21" x14ac:dyDescent="0.25">
      <c r="B2" s="148" t="str">
        <f>"Assumptions - Forecast Drivers  - "&amp;'Data Sheet'!B1</f>
        <v>Assumptions - Forecast Drivers  - TITAN COMPANY LTD</v>
      </c>
      <c r="C2" s="148"/>
      <c r="D2" s="148"/>
      <c r="E2" s="148"/>
      <c r="F2" s="148"/>
      <c r="G2" s="148"/>
      <c r="H2" s="148"/>
      <c r="I2" s="61"/>
      <c r="J2" s="61"/>
      <c r="K2" s="61"/>
      <c r="L2" s="61"/>
      <c r="M2" s="61"/>
    </row>
    <row r="3" spans="1:13" x14ac:dyDescent="0.25">
      <c r="B3" s="9" t="s">
        <v>56</v>
      </c>
      <c r="C3" s="58">
        <f>'Data Sheet'!G16+(5*365)</f>
        <v>46476</v>
      </c>
      <c r="D3" s="58">
        <f>'Data Sheet'!H16+(5*365)</f>
        <v>46841</v>
      </c>
      <c r="E3" s="58">
        <f>'Data Sheet'!I16+(5*365)</f>
        <v>47207</v>
      </c>
      <c r="F3" s="58">
        <f>'Data Sheet'!J16+(5*365)</f>
        <v>47572</v>
      </c>
      <c r="G3" s="63">
        <f>'Data Sheet'!K16+(5*365)</f>
        <v>47937</v>
      </c>
      <c r="H3" s="62" t="s">
        <v>197</v>
      </c>
      <c r="I3" s="59"/>
      <c r="J3" s="59"/>
      <c r="K3" s="59"/>
      <c r="L3" s="59"/>
      <c r="M3" s="60"/>
    </row>
    <row r="4" spans="1:13" x14ac:dyDescent="0.25">
      <c r="B4" s="146" t="s">
        <v>303</v>
      </c>
    </row>
    <row r="5" spans="1:13" x14ac:dyDescent="0.25">
      <c r="A5" s="2" t="s">
        <v>81</v>
      </c>
      <c r="B5" s="56" t="s">
        <v>191</v>
      </c>
      <c r="C5" s="57"/>
      <c r="D5" s="57"/>
      <c r="E5" s="57"/>
      <c r="F5" s="57"/>
      <c r="G5" s="57"/>
      <c r="H5" s="57"/>
    </row>
    <row r="6" spans="1:13" x14ac:dyDescent="0.25">
      <c r="B6" t="s">
        <v>196</v>
      </c>
      <c r="C6" s="66">
        <v>0.22</v>
      </c>
      <c r="D6" s="66">
        <v>0.17</v>
      </c>
      <c r="E6" s="66">
        <v>0.15</v>
      </c>
      <c r="F6" s="66">
        <v>0.14000000000000001</v>
      </c>
      <c r="G6" s="66">
        <v>0.13</v>
      </c>
      <c r="H6" s="64"/>
    </row>
    <row r="7" spans="1:13" x14ac:dyDescent="0.25">
      <c r="B7" t="s">
        <v>192</v>
      </c>
      <c r="C7" s="66">
        <v>0.82</v>
      </c>
      <c r="D7" s="66">
        <v>0.81</v>
      </c>
      <c r="E7" s="66">
        <v>0.80500000000000005</v>
      </c>
      <c r="F7" s="66">
        <v>0.80500000000000005</v>
      </c>
      <c r="G7" s="66">
        <v>0.8</v>
      </c>
      <c r="H7" s="64"/>
    </row>
    <row r="8" spans="1:13" x14ac:dyDescent="0.25">
      <c r="B8" t="s">
        <v>198</v>
      </c>
      <c r="C8" s="66">
        <v>0.09</v>
      </c>
      <c r="D8" s="66">
        <v>0.09</v>
      </c>
      <c r="E8" s="66">
        <v>0.09</v>
      </c>
      <c r="F8" s="66">
        <v>0.09</v>
      </c>
      <c r="G8" s="66">
        <v>0.09</v>
      </c>
    </row>
    <row r="9" spans="1:13" x14ac:dyDescent="0.25">
      <c r="B9" t="s">
        <v>193</v>
      </c>
      <c r="C9" s="67">
        <f>1-C7-C8</f>
        <v>9.0000000000000052E-2</v>
      </c>
      <c r="D9" s="67">
        <f t="shared" ref="D9:G9" si="0">1-D7-D8</f>
        <v>9.999999999999995E-2</v>
      </c>
      <c r="E9" s="67">
        <f t="shared" si="0"/>
        <v>0.10499999999999995</v>
      </c>
      <c r="F9" s="67">
        <f t="shared" si="0"/>
        <v>0.10499999999999995</v>
      </c>
      <c r="G9" s="67">
        <f t="shared" si="0"/>
        <v>0.10999999999999996</v>
      </c>
    </row>
    <row r="10" spans="1:13" x14ac:dyDescent="0.25">
      <c r="B10" t="s">
        <v>194</v>
      </c>
      <c r="C10" s="66">
        <v>5.0000000000000001E-3</v>
      </c>
      <c r="D10" s="66">
        <v>5.0000000000000001E-3</v>
      </c>
      <c r="E10" s="66">
        <v>5.0000000000000001E-3</v>
      </c>
      <c r="F10" s="66">
        <v>5.0000000000000001E-3</v>
      </c>
      <c r="G10" s="66">
        <v>5.0000000000000001E-3</v>
      </c>
    </row>
    <row r="11" spans="1:13" x14ac:dyDescent="0.25">
      <c r="B11" t="s">
        <v>195</v>
      </c>
      <c r="C11" s="66">
        <v>0.252</v>
      </c>
      <c r="D11" s="66">
        <v>0.252</v>
      </c>
      <c r="E11" s="66">
        <v>0.252</v>
      </c>
      <c r="F11" s="66">
        <v>0.252</v>
      </c>
      <c r="G11" s="66">
        <v>0.252</v>
      </c>
    </row>
    <row r="12" spans="1:13" x14ac:dyDescent="0.25">
      <c r="B12" t="s">
        <v>215</v>
      </c>
      <c r="C12" s="66">
        <v>0.28000000000000003</v>
      </c>
      <c r="D12" s="66">
        <v>0.28000000000000003</v>
      </c>
      <c r="E12" s="66">
        <v>0.28000000000000003</v>
      </c>
      <c r="F12" s="66">
        <v>0.28000000000000003</v>
      </c>
      <c r="G12" s="66">
        <v>0.28000000000000003</v>
      </c>
    </row>
    <row r="14" spans="1:13" x14ac:dyDescent="0.25">
      <c r="A14" s="2" t="s">
        <v>81</v>
      </c>
      <c r="B14" s="56" t="s">
        <v>201</v>
      </c>
      <c r="C14" s="56"/>
      <c r="D14" s="56"/>
      <c r="E14" s="56"/>
      <c r="F14" s="56"/>
      <c r="G14" s="56"/>
      <c r="H14" s="56"/>
    </row>
    <row r="15" spans="1:13" x14ac:dyDescent="0.25">
      <c r="B15" t="s">
        <v>199</v>
      </c>
      <c r="C15" s="66">
        <v>0.03</v>
      </c>
      <c r="D15" s="66">
        <v>0.03</v>
      </c>
      <c r="E15" s="66">
        <v>0.03</v>
      </c>
      <c r="F15" s="66">
        <v>0.03</v>
      </c>
      <c r="G15" s="66">
        <v>0.03</v>
      </c>
    </row>
    <row r="16" spans="1:13" x14ac:dyDescent="0.25">
      <c r="B16" t="s">
        <v>223</v>
      </c>
      <c r="C16" s="66">
        <v>0.19500000000000001</v>
      </c>
      <c r="D16" s="66">
        <v>0.19500000000000001</v>
      </c>
      <c r="E16" s="66">
        <v>0.19500000000000001</v>
      </c>
      <c r="F16" s="66">
        <v>0.19500000000000001</v>
      </c>
      <c r="G16" s="66">
        <v>0.19500000000000001</v>
      </c>
    </row>
    <row r="17" spans="1:8" x14ac:dyDescent="0.25">
      <c r="B17" t="s">
        <v>16</v>
      </c>
      <c r="C17" s="68">
        <v>3506</v>
      </c>
      <c r="D17" s="68">
        <v>3506</v>
      </c>
      <c r="E17" s="68">
        <v>3506</v>
      </c>
      <c r="F17" s="68">
        <v>3506</v>
      </c>
      <c r="G17" s="68">
        <v>3506</v>
      </c>
    </row>
    <row r="18" spans="1:8" x14ac:dyDescent="0.25">
      <c r="B18" t="s">
        <v>205</v>
      </c>
      <c r="C18" s="68">
        <v>163</v>
      </c>
      <c r="D18" s="68">
        <v>163</v>
      </c>
      <c r="E18" s="68">
        <v>163</v>
      </c>
      <c r="F18" s="68">
        <v>163</v>
      </c>
      <c r="G18" s="68">
        <v>163</v>
      </c>
    </row>
    <row r="20" spans="1:8" x14ac:dyDescent="0.25">
      <c r="A20" t="s">
        <v>81</v>
      </c>
      <c r="B20" s="56" t="s">
        <v>200</v>
      </c>
      <c r="C20" s="56"/>
      <c r="D20" s="56"/>
      <c r="E20" s="56"/>
      <c r="F20" s="56"/>
      <c r="G20" s="56"/>
      <c r="H20" s="56"/>
    </row>
    <row r="21" spans="1:8" x14ac:dyDescent="0.25">
      <c r="B21" s="49" t="s">
        <v>207</v>
      </c>
      <c r="C21" s="71">
        <v>195</v>
      </c>
      <c r="D21" s="71">
        <v>195</v>
      </c>
      <c r="E21" s="71">
        <v>195</v>
      </c>
      <c r="F21" s="71">
        <v>195</v>
      </c>
      <c r="G21" s="71">
        <v>195</v>
      </c>
    </row>
    <row r="22" spans="1:8" x14ac:dyDescent="0.25">
      <c r="B22" s="49" t="s">
        <v>208</v>
      </c>
      <c r="C22" s="71">
        <v>6</v>
      </c>
      <c r="D22" s="71">
        <v>6</v>
      </c>
      <c r="E22" s="71">
        <v>6</v>
      </c>
      <c r="F22" s="71">
        <v>6</v>
      </c>
      <c r="G22" s="71">
        <v>6</v>
      </c>
    </row>
    <row r="23" spans="1:8" x14ac:dyDescent="0.25">
      <c r="B23" s="49" t="s">
        <v>209</v>
      </c>
      <c r="C23" s="71">
        <v>15</v>
      </c>
      <c r="D23" s="71">
        <v>15</v>
      </c>
      <c r="E23" s="71">
        <v>15</v>
      </c>
      <c r="F23" s="71">
        <v>15</v>
      </c>
      <c r="G23" s="71">
        <v>15</v>
      </c>
    </row>
    <row r="24" spans="1:8" x14ac:dyDescent="0.25">
      <c r="B24" s="49" t="s">
        <v>202</v>
      </c>
      <c r="C24" s="66">
        <v>0.04</v>
      </c>
      <c r="D24" s="66">
        <v>0.04</v>
      </c>
      <c r="E24" s="66">
        <v>0.04</v>
      </c>
      <c r="F24" s="66">
        <v>0.04</v>
      </c>
      <c r="G24" s="66">
        <v>0.04</v>
      </c>
    </row>
    <row r="25" spans="1:8" x14ac:dyDescent="0.25">
      <c r="B25" s="49" t="s">
        <v>203</v>
      </c>
      <c r="C25" s="66">
        <v>0.05</v>
      </c>
      <c r="D25" s="66">
        <v>0.05</v>
      </c>
      <c r="E25" s="66">
        <v>0.05</v>
      </c>
      <c r="F25" s="66">
        <v>0.05</v>
      </c>
      <c r="G25" s="66">
        <v>0.05</v>
      </c>
    </row>
    <row r="26" spans="1:8" x14ac:dyDescent="0.25">
      <c r="B26" s="49" t="s">
        <v>204</v>
      </c>
      <c r="C26" s="66">
        <v>0.08</v>
      </c>
      <c r="D26" s="66">
        <v>0.08</v>
      </c>
      <c r="E26" s="66">
        <v>0.08</v>
      </c>
      <c r="F26" s="66">
        <v>0.08</v>
      </c>
      <c r="G26" s="66">
        <v>0.08</v>
      </c>
    </row>
    <row r="28" spans="1:8" x14ac:dyDescent="0.25">
      <c r="B28" s="56" t="s">
        <v>211</v>
      </c>
      <c r="C28" s="56"/>
      <c r="D28" s="56"/>
      <c r="E28" s="56"/>
      <c r="F28" s="56"/>
      <c r="G28" s="56"/>
      <c r="H28" s="56"/>
    </row>
    <row r="29" spans="1:8" x14ac:dyDescent="0.25">
      <c r="B29" s="49" t="s">
        <v>212</v>
      </c>
      <c r="C29" s="66">
        <v>0.04</v>
      </c>
      <c r="D29" s="66">
        <v>0.04</v>
      </c>
      <c r="E29" s="66">
        <v>0.04</v>
      </c>
      <c r="F29" s="66">
        <v>0.04</v>
      </c>
      <c r="G29" s="66">
        <v>0.04</v>
      </c>
    </row>
    <row r="30" spans="1:8" x14ac:dyDescent="0.25">
      <c r="B30" s="49" t="s">
        <v>213</v>
      </c>
      <c r="C30" s="66">
        <v>0.18</v>
      </c>
      <c r="D30" s="66">
        <v>0.15</v>
      </c>
      <c r="E30" s="66">
        <v>0.13</v>
      </c>
      <c r="F30" s="66">
        <v>0.11</v>
      </c>
      <c r="G30" s="66">
        <v>0.09</v>
      </c>
    </row>
    <row r="31" spans="1:8" x14ac:dyDescent="0.25">
      <c r="B31" s="49" t="s">
        <v>261</v>
      </c>
      <c r="C31" s="77">
        <f>IFERROR('Data Sheet'!$K$57,0)</f>
        <v>89</v>
      </c>
      <c r="D31" s="77">
        <f>IFERROR('Data Sheet'!$K$57,0)</f>
        <v>89</v>
      </c>
      <c r="E31" s="77">
        <f>IFERROR('Data Sheet'!$K$57,0)</f>
        <v>89</v>
      </c>
      <c r="F31" s="77">
        <f>IFERROR('Data Sheet'!$K$57,0)</f>
        <v>89</v>
      </c>
      <c r="G31" s="77">
        <f>IFERROR('Data Sheet'!$K$57,0)</f>
        <v>89</v>
      </c>
    </row>
    <row r="32" spans="1:8" x14ac:dyDescent="0.25">
      <c r="B32" s="49" t="s">
        <v>214</v>
      </c>
      <c r="C32" s="77">
        <f>IFERROR('Data Sheet'!$B$6,0)</f>
        <v>88.77861266874352</v>
      </c>
      <c r="D32" s="77">
        <f>IFERROR('Data Sheet'!$B$6,0)</f>
        <v>88.77861266874352</v>
      </c>
      <c r="E32" s="77">
        <f>IFERROR('Data Sheet'!$B$6,0)</f>
        <v>88.77861266874352</v>
      </c>
      <c r="F32" s="77">
        <f>IFERROR('Data Sheet'!$B$6,0)</f>
        <v>88.77861266874352</v>
      </c>
      <c r="G32" s="77">
        <f>IFERROR('Data Sheet'!$B$6,0)</f>
        <v>88.77861266874352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A81B-05DB-489D-9BCE-22AB4F8D67D1}">
  <sheetPr codeName="Sheet6">
    <tabColor rgb="FF002060"/>
  </sheetPr>
  <dimension ref="A1"/>
  <sheetViews>
    <sheetView showGridLines="0" workbookViewId="0">
      <selection activeCell="E13" sqref="E1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82BB-61CF-42BE-AACD-21353E6C5DFA}">
  <sheetPr codeName="Sheet7">
    <pageSetUpPr autoPageBreaks="0"/>
  </sheetPr>
  <dimension ref="A2:U111"/>
  <sheetViews>
    <sheetView showGridLines="0" tabSelected="1" zoomScaleNormal="10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36" sqref="C36"/>
    </sheetView>
  </sheetViews>
  <sheetFormatPr defaultRowHeight="15" x14ac:dyDescent="0.25"/>
  <cols>
    <col min="1" max="1" width="1.85546875" customWidth="1"/>
    <col min="2" max="2" width="28" bestFit="1" customWidth="1"/>
    <col min="3" max="13" width="13.42578125" customWidth="1"/>
  </cols>
  <sheetData>
    <row r="2" spans="1:13" ht="21" x14ac:dyDescent="0.25">
      <c r="B2" s="148" t="str">
        <f>"Historical Financial Statement - "&amp;'Data Sheet'!B1</f>
        <v>Historical Financial Statement - TITAN COMPANY LTD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x14ac:dyDescent="0.25">
      <c r="B3" s="9" t="s">
        <v>56</v>
      </c>
      <c r="C3" s="11">
        <f>'Data Sheet'!B16</f>
        <v>42825</v>
      </c>
      <c r="D3" s="11">
        <f>'Data Sheet'!C16</f>
        <v>43190</v>
      </c>
      <c r="E3" s="11">
        <f>'Data Sheet'!D16</f>
        <v>43555</v>
      </c>
      <c r="F3" s="11">
        <f>'Data Sheet'!E16</f>
        <v>43921</v>
      </c>
      <c r="G3" s="11">
        <f>'Data Sheet'!F16</f>
        <v>44286</v>
      </c>
      <c r="H3" s="11">
        <f>'Data Sheet'!G16</f>
        <v>44651</v>
      </c>
      <c r="I3" s="11">
        <f>'Data Sheet'!H16</f>
        <v>45016</v>
      </c>
      <c r="J3" s="11">
        <f>'Data Sheet'!I16</f>
        <v>45382</v>
      </c>
      <c r="K3" s="11">
        <f>'Data Sheet'!J16</f>
        <v>45747</v>
      </c>
      <c r="L3" s="11">
        <f>'Data Sheet'!K16</f>
        <v>46112</v>
      </c>
      <c r="M3" s="12" t="s">
        <v>57</v>
      </c>
    </row>
    <row r="4" spans="1:13" x14ac:dyDescent="0.25">
      <c r="B4" s="146" t="s">
        <v>303</v>
      </c>
    </row>
    <row r="5" spans="1:13" x14ac:dyDescent="0.25">
      <c r="A5" s="2" t="s">
        <v>81</v>
      </c>
      <c r="B5" s="13" t="s">
        <v>58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s="19" customFormat="1" x14ac:dyDescent="0.25">
      <c r="B6" t="s">
        <v>1</v>
      </c>
      <c r="C6" s="78">
        <f>IFERROR('Data Sheet'!B17,0)</f>
        <v>13260.83</v>
      </c>
      <c r="D6" s="78">
        <f>IFERROR('Data Sheet'!C17,0)</f>
        <v>16119.77</v>
      </c>
      <c r="E6" s="78">
        <f>IFERROR('Data Sheet'!D17,0)</f>
        <v>19778.52</v>
      </c>
      <c r="F6" s="78">
        <f>IFERROR('Data Sheet'!E17,0)</f>
        <v>21052</v>
      </c>
      <c r="G6" s="78">
        <f>IFERROR('Data Sheet'!F17,0)</f>
        <v>21644</v>
      </c>
      <c r="H6" s="78">
        <f>IFERROR('Data Sheet'!G17,0)</f>
        <v>28799</v>
      </c>
      <c r="I6" s="78">
        <f>IFERROR('Data Sheet'!H17,0)</f>
        <v>40575</v>
      </c>
      <c r="J6" s="78">
        <f>IFERROR('Data Sheet'!I17,0)</f>
        <v>51084</v>
      </c>
      <c r="K6" s="78">
        <f>IFERROR('Data Sheet'!J17,0)</f>
        <v>60456</v>
      </c>
      <c r="L6" s="78">
        <f>IFERROR('Data Sheet'!K17,0)</f>
        <v>87584</v>
      </c>
      <c r="M6" s="19">
        <f>IFERROR(SUM('Data Sheet'!H42:K42),0)</f>
        <v>92417</v>
      </c>
    </row>
    <row r="7" spans="1:13" x14ac:dyDescent="0.25">
      <c r="B7" s="20" t="s">
        <v>10</v>
      </c>
      <c r="C7" s="17"/>
      <c r="D7" s="16">
        <f>IFERROR((D6/C6)-1,0)</f>
        <v>0.21559283996552248</v>
      </c>
      <c r="E7" s="16">
        <f t="shared" ref="E7:M7" si="0">IFERROR((E6/D6)-1,0)</f>
        <v>0.22697284142391605</v>
      </c>
      <c r="F7" s="16">
        <f t="shared" si="0"/>
        <v>6.4387021880302431E-2</v>
      </c>
      <c r="G7" s="16">
        <f t="shared" si="0"/>
        <v>2.8120843625308867E-2</v>
      </c>
      <c r="H7" s="16">
        <f t="shared" si="0"/>
        <v>0.33057660321567184</v>
      </c>
      <c r="I7" s="16">
        <f t="shared" si="0"/>
        <v>0.40890308691274013</v>
      </c>
      <c r="J7" s="16">
        <f t="shared" si="0"/>
        <v>0.25900184842883545</v>
      </c>
      <c r="K7" s="16">
        <f t="shared" si="0"/>
        <v>0.18346253229974163</v>
      </c>
      <c r="L7" s="16">
        <f t="shared" si="0"/>
        <v>0.448723038242689</v>
      </c>
      <c r="M7" s="16">
        <f t="shared" si="0"/>
        <v>5.5181311655096765E-2</v>
      </c>
    </row>
    <row r="9" spans="1:13" s="19" customFormat="1" x14ac:dyDescent="0.25">
      <c r="B9" t="s">
        <v>59</v>
      </c>
      <c r="C9" s="19">
        <f>IFERROR(SUM('Data Sheet'!B18,'Data Sheet'!B20:B22)-1*'Data Sheet'!B19,0)</f>
        <v>10606.01</v>
      </c>
      <c r="D9" s="19">
        <f>IFERROR(SUM('Data Sheet'!C18,'Data Sheet'!C20:C22)-1*'Data Sheet'!C19,0)</f>
        <v>12762.63</v>
      </c>
      <c r="E9" s="19">
        <f>IFERROR(SUM('Data Sheet'!D18,'Data Sheet'!D20:D22)-1*'Data Sheet'!D19,0)</f>
        <v>15660.48</v>
      </c>
      <c r="F9" s="19">
        <f>IFERROR(SUM('Data Sheet'!E18,'Data Sheet'!E20:E22)-1*'Data Sheet'!E19,0)</f>
        <v>16626</v>
      </c>
      <c r="G9" s="19">
        <f>IFERROR(SUM('Data Sheet'!F18,'Data Sheet'!F20:F22)-1*'Data Sheet'!F19,0)</f>
        <v>17661</v>
      </c>
      <c r="H9" s="19">
        <f>IFERROR(SUM('Data Sheet'!G18,'Data Sheet'!G20:G22)-1*'Data Sheet'!G19,0)</f>
        <v>23225</v>
      </c>
      <c r="I9" s="19">
        <f>IFERROR(SUM('Data Sheet'!H18,'Data Sheet'!H20:H22)-1*'Data Sheet'!H19,0)</f>
        <v>32295</v>
      </c>
      <c r="J9" s="19">
        <f>IFERROR(SUM('Data Sheet'!I18,'Data Sheet'!I20:I22)-1*'Data Sheet'!I19,0)</f>
        <v>41664</v>
      </c>
      <c r="K9" s="19">
        <f>IFERROR(SUM('Data Sheet'!J18,'Data Sheet'!J20:J22)-1*'Data Sheet'!J19,0)</f>
        <v>50024</v>
      </c>
      <c r="L9" s="19">
        <f>IFERROR(SUM('Data Sheet'!K18,'Data Sheet'!K20:K22)-1*'Data Sheet'!K19,0)</f>
        <v>73461</v>
      </c>
      <c r="M9" s="19">
        <f>IFERROR(SUM('Data Sheet'!H43:K43),0)</f>
        <v>83001</v>
      </c>
    </row>
    <row r="10" spans="1:13" x14ac:dyDescent="0.25">
      <c r="B10" s="20" t="s">
        <v>60</v>
      </c>
      <c r="C10" s="16">
        <f>IFERROR(C9/C6,0)</f>
        <v>0.79979986169794803</v>
      </c>
      <c r="D10" s="16">
        <f t="shared" ref="D10:M10" si="1">IFERROR(D9/D6,0)</f>
        <v>0.79173772330498504</v>
      </c>
      <c r="E10" s="16">
        <f t="shared" si="1"/>
        <v>0.79179230801900236</v>
      </c>
      <c r="F10" s="16">
        <f t="shared" si="1"/>
        <v>0.78975869276078281</v>
      </c>
      <c r="G10" s="16">
        <f t="shared" si="1"/>
        <v>0.81597671410090555</v>
      </c>
      <c r="H10" s="16">
        <f t="shared" si="1"/>
        <v>0.80645161290322576</v>
      </c>
      <c r="I10" s="16">
        <f t="shared" si="1"/>
        <v>0.79593345656192238</v>
      </c>
      <c r="J10" s="16">
        <f t="shared" si="1"/>
        <v>0.81559783885365278</v>
      </c>
      <c r="K10" s="16">
        <f t="shared" si="1"/>
        <v>0.82744475320894539</v>
      </c>
      <c r="L10" s="16">
        <f t="shared" si="1"/>
        <v>0.83874908659115821</v>
      </c>
      <c r="M10" s="16">
        <f t="shared" si="1"/>
        <v>0.89811398335804016</v>
      </c>
    </row>
    <row r="12" spans="1:13" s="19" customFormat="1" x14ac:dyDescent="0.25">
      <c r="B12" s="25" t="s">
        <v>61</v>
      </c>
      <c r="C12" s="26">
        <f>C6-C9</f>
        <v>2654.8199999999997</v>
      </c>
      <c r="D12" s="26">
        <f>D6-D9</f>
        <v>3357.1400000000012</v>
      </c>
      <c r="E12" s="26">
        <f t="shared" ref="E12:M12" si="2">E6-E9</f>
        <v>4118.0400000000009</v>
      </c>
      <c r="F12" s="26">
        <f t="shared" si="2"/>
        <v>4426</v>
      </c>
      <c r="G12" s="26">
        <f t="shared" si="2"/>
        <v>3983</v>
      </c>
      <c r="H12" s="26">
        <f t="shared" si="2"/>
        <v>5574</v>
      </c>
      <c r="I12" s="26">
        <f t="shared" si="2"/>
        <v>8280</v>
      </c>
      <c r="J12" s="26">
        <f t="shared" si="2"/>
        <v>9420</v>
      </c>
      <c r="K12" s="26">
        <f t="shared" si="2"/>
        <v>10432</v>
      </c>
      <c r="L12" s="26">
        <f t="shared" ref="L12" si="3">L6-L9</f>
        <v>14123</v>
      </c>
      <c r="M12" s="26">
        <f t="shared" si="2"/>
        <v>9416</v>
      </c>
    </row>
    <row r="13" spans="1:13" x14ac:dyDescent="0.25">
      <c r="B13" s="20" t="s">
        <v>62</v>
      </c>
      <c r="C13" s="16">
        <f>IFERROR(C12/C6,0)</f>
        <v>0.20020013830205197</v>
      </c>
      <c r="D13" s="16">
        <f t="shared" ref="D13:M13" si="4">IFERROR(D12/D6,0)</f>
        <v>0.20826227669501496</v>
      </c>
      <c r="E13" s="16">
        <f t="shared" si="4"/>
        <v>0.20820769198099762</v>
      </c>
      <c r="F13" s="16">
        <f t="shared" si="4"/>
        <v>0.21024130723921719</v>
      </c>
      <c r="G13" s="16">
        <f t="shared" si="4"/>
        <v>0.18402328589909445</v>
      </c>
      <c r="H13" s="16">
        <f t="shared" si="4"/>
        <v>0.19354838709677419</v>
      </c>
      <c r="I13" s="16">
        <f t="shared" si="4"/>
        <v>0.20406654343807765</v>
      </c>
      <c r="J13" s="16">
        <f t="shared" si="4"/>
        <v>0.18440216114634719</v>
      </c>
      <c r="K13" s="16">
        <f t="shared" si="4"/>
        <v>0.17255524679105466</v>
      </c>
      <c r="L13" s="16">
        <f t="shared" si="4"/>
        <v>0.16125091340884179</v>
      </c>
      <c r="M13" s="16">
        <f t="shared" si="4"/>
        <v>0.10188601664195981</v>
      </c>
    </row>
    <row r="15" spans="1:13" s="19" customFormat="1" x14ac:dyDescent="0.25">
      <c r="B15" t="s">
        <v>63</v>
      </c>
      <c r="C15" s="19">
        <f>IFERROR(SUM('Data Sheet'!B23:B24),0)</f>
        <v>1490.92</v>
      </c>
      <c r="D15" s="19">
        <f>IFERROR(SUM('Data Sheet'!C23:C24),0)</f>
        <v>1712.94</v>
      </c>
      <c r="E15" s="19">
        <f>IFERROR(SUM('Data Sheet'!D23:D24),0)</f>
        <v>2124.25</v>
      </c>
      <c r="F15" s="19">
        <f>IFERROR(SUM('Data Sheet'!E23:E24),0)</f>
        <v>1963</v>
      </c>
      <c r="G15" s="19">
        <f>IFERROR(SUM('Data Sheet'!F23:F24),0)</f>
        <v>2258</v>
      </c>
      <c r="H15" s="19">
        <f>IFERROR(SUM('Data Sheet'!G23:G24),0)</f>
        <v>2230</v>
      </c>
      <c r="I15" s="19">
        <f>IFERROR(SUM('Data Sheet'!H23:H24),0)</f>
        <v>3398</v>
      </c>
      <c r="J15" s="19">
        <f>IFERROR(SUM('Data Sheet'!I23:I24),0)</f>
        <v>4128</v>
      </c>
      <c r="K15" s="19">
        <f>IFERROR(SUM('Data Sheet'!J23:J24),0)</f>
        <v>4738</v>
      </c>
      <c r="L15" s="19">
        <f>IFERROR(SUM('Data Sheet'!K23:K24),0)</f>
        <v>5766</v>
      </c>
    </row>
    <row r="16" spans="1:13" x14ac:dyDescent="0.25">
      <c r="B16" s="20" t="s">
        <v>64</v>
      </c>
      <c r="C16" s="16">
        <f>IFERROR(C15/C6,0)</f>
        <v>0.11243036823486917</v>
      </c>
      <c r="D16" s="16">
        <f t="shared" ref="D16:M16" si="5">IFERROR(D15/D6,0)</f>
        <v>0.10626330276424539</v>
      </c>
      <c r="E16" s="16">
        <f t="shared" si="5"/>
        <v>0.10740186828943722</v>
      </c>
      <c r="F16" s="16">
        <f t="shared" si="5"/>
        <v>9.3245297358920773E-2</v>
      </c>
      <c r="G16" s="16">
        <f t="shared" si="5"/>
        <v>0.10432452411753834</v>
      </c>
      <c r="H16" s="16">
        <f t="shared" si="5"/>
        <v>7.7433244209868399E-2</v>
      </c>
      <c r="I16" s="16">
        <f t="shared" si="5"/>
        <v>8.3746149106592727E-2</v>
      </c>
      <c r="J16" s="16">
        <f t="shared" si="5"/>
        <v>8.0808080808080815E-2</v>
      </c>
      <c r="K16" s="16">
        <f t="shared" si="5"/>
        <v>7.8371046711658066E-2</v>
      </c>
      <c r="L16" s="16">
        <f t="shared" si="5"/>
        <v>6.5833942272561202E-2</v>
      </c>
      <c r="M16" s="16">
        <f t="shared" si="5"/>
        <v>0</v>
      </c>
    </row>
    <row r="17" spans="2:16" x14ac:dyDescent="0.25">
      <c r="O17" s="43"/>
    </row>
    <row r="18" spans="2:16" s="19" customFormat="1" x14ac:dyDescent="0.25">
      <c r="B18" s="25" t="s">
        <v>65</v>
      </c>
      <c r="C18" s="26">
        <f>C12-C15</f>
        <v>1163.8999999999996</v>
      </c>
      <c r="D18" s="26">
        <f>D12-D15</f>
        <v>1644.2000000000012</v>
      </c>
      <c r="E18" s="26">
        <f t="shared" ref="E18:M18" si="6">E12-E15</f>
        <v>1993.7900000000009</v>
      </c>
      <c r="F18" s="26">
        <f t="shared" si="6"/>
        <v>2463</v>
      </c>
      <c r="G18" s="26">
        <f t="shared" si="6"/>
        <v>1725</v>
      </c>
      <c r="H18" s="26">
        <f t="shared" si="6"/>
        <v>3344</v>
      </c>
      <c r="I18" s="26">
        <f t="shared" si="6"/>
        <v>4882</v>
      </c>
      <c r="J18" s="26">
        <f t="shared" si="6"/>
        <v>5292</v>
      </c>
      <c r="K18" s="26">
        <f t="shared" si="6"/>
        <v>5694</v>
      </c>
      <c r="L18" s="26">
        <f t="shared" ref="L18" si="7">L12-L15</f>
        <v>8357</v>
      </c>
      <c r="M18" s="26">
        <f t="shared" si="6"/>
        <v>9416</v>
      </c>
    </row>
    <row r="19" spans="2:16" x14ac:dyDescent="0.25">
      <c r="B19" s="20" t="s">
        <v>66</v>
      </c>
      <c r="C19" s="16">
        <f>IFERROR(C18/C6,0)</f>
        <v>8.7769770067182798E-2</v>
      </c>
      <c r="D19" s="16">
        <f t="shared" ref="D19:M19" si="8">IFERROR(D18/D6,0)</f>
        <v>0.10199897393076955</v>
      </c>
      <c r="E19" s="16">
        <f t="shared" si="8"/>
        <v>0.10080582369156038</v>
      </c>
      <c r="F19" s="16">
        <f t="shared" si="8"/>
        <v>0.1169960098802964</v>
      </c>
      <c r="G19" s="16">
        <f t="shared" si="8"/>
        <v>7.9698761781556091E-2</v>
      </c>
      <c r="H19" s="16">
        <f t="shared" si="8"/>
        <v>0.11611514288690579</v>
      </c>
      <c r="I19" s="16">
        <f t="shared" si="8"/>
        <v>0.12032039433148491</v>
      </c>
      <c r="J19" s="16">
        <f t="shared" si="8"/>
        <v>0.10359408033826638</v>
      </c>
      <c r="K19" s="16">
        <f t="shared" si="8"/>
        <v>9.4184200079396582E-2</v>
      </c>
      <c r="L19" s="16">
        <f t="shared" si="8"/>
        <v>9.5416971136280601E-2</v>
      </c>
      <c r="M19" s="16">
        <f t="shared" si="8"/>
        <v>0.10188601664195981</v>
      </c>
    </row>
    <row r="21" spans="2:16" s="19" customFormat="1" x14ac:dyDescent="0.25">
      <c r="B21" t="s">
        <v>4</v>
      </c>
      <c r="C21" s="78">
        <f>IFERROR('Data Sheet'!B25,0)</f>
        <v>-42.38</v>
      </c>
      <c r="D21" s="78">
        <f>IFERROR('Data Sheet'!C25,0)</f>
        <v>69.930000000000007</v>
      </c>
      <c r="E21" s="78">
        <f>IFERROR('Data Sheet'!D25,0)</f>
        <v>178.48</v>
      </c>
      <c r="F21" s="78">
        <f>IFERROR('Data Sheet'!E25,0)</f>
        <v>153</v>
      </c>
      <c r="G21" s="78">
        <f>IFERROR('Data Sheet'!F25,0)</f>
        <v>180</v>
      </c>
      <c r="H21" s="78">
        <f>IFERROR('Data Sheet'!G25,0)</f>
        <v>177</v>
      </c>
      <c r="I21" s="78">
        <f>IFERROR('Data Sheet'!H25,0)</f>
        <v>306</v>
      </c>
      <c r="J21" s="78">
        <f>IFERROR('Data Sheet'!I25,0)</f>
        <v>534</v>
      </c>
      <c r="K21" s="78">
        <f>IFERROR('Data Sheet'!J25,0)</f>
        <v>487</v>
      </c>
      <c r="L21" s="78">
        <f>IFERROR('Data Sheet'!K25,0)</f>
        <v>450</v>
      </c>
      <c r="M21" s="19">
        <f>IFERROR(SUM('Data Sheet'!H44:K44),0)</f>
        <v>495</v>
      </c>
    </row>
    <row r="22" spans="2:16" x14ac:dyDescent="0.25">
      <c r="B22" s="20" t="s">
        <v>80</v>
      </c>
      <c r="C22" s="16">
        <f>IFERROR(C21/C6,0)</f>
        <v>-3.1958783877027307E-3</v>
      </c>
      <c r="D22" s="16">
        <f t="shared" ref="D22:M22" si="9">IFERROR(D21/D6,0)</f>
        <v>4.3381512267234587E-3</v>
      </c>
      <c r="E22" s="16">
        <f t="shared" si="9"/>
        <v>9.0239310120271889E-3</v>
      </c>
      <c r="F22" s="16">
        <f t="shared" si="9"/>
        <v>7.2677180315409463E-3</v>
      </c>
      <c r="G22" s="16">
        <f t="shared" si="9"/>
        <v>8.3163925337275922E-3</v>
      </c>
      <c r="H22" s="16">
        <f t="shared" si="9"/>
        <v>6.1460467377339491E-3</v>
      </c>
      <c r="I22" s="16">
        <f t="shared" si="9"/>
        <v>7.5415896487985214E-3</v>
      </c>
      <c r="J22" s="16">
        <f t="shared" si="9"/>
        <v>1.0453370918487198E-2</v>
      </c>
      <c r="K22" s="16">
        <f t="shared" si="9"/>
        <v>8.0554452825195178E-3</v>
      </c>
      <c r="L22" s="16">
        <f t="shared" si="9"/>
        <v>5.1379247351114356E-3</v>
      </c>
      <c r="M22" s="16">
        <f t="shared" si="9"/>
        <v>5.3561574169254571E-3</v>
      </c>
    </row>
    <row r="23" spans="2:16" x14ac:dyDescent="0.25">
      <c r="O23" s="39"/>
    </row>
    <row r="24" spans="2:16" s="19" customFormat="1" x14ac:dyDescent="0.25">
      <c r="B24" t="s">
        <v>6</v>
      </c>
      <c r="C24" s="78">
        <f>IFERROR('Data Sheet'!B27,0)</f>
        <v>37.74</v>
      </c>
      <c r="D24" s="78">
        <f>IFERROR('Data Sheet'!C27,0)</f>
        <v>52.92</v>
      </c>
      <c r="E24" s="78">
        <f>IFERROR('Data Sheet'!D27,0)</f>
        <v>52.54</v>
      </c>
      <c r="F24" s="78">
        <f>IFERROR('Data Sheet'!E27,0)</f>
        <v>166</v>
      </c>
      <c r="G24" s="78">
        <f>IFERROR('Data Sheet'!F27,0)</f>
        <v>203</v>
      </c>
      <c r="H24" s="78">
        <f>IFERROR('Data Sheet'!G27,0)</f>
        <v>218</v>
      </c>
      <c r="I24" s="78">
        <f>IFERROR('Data Sheet'!H27,0)</f>
        <v>300</v>
      </c>
      <c r="J24" s="78">
        <f>IFERROR('Data Sheet'!I27,0)</f>
        <v>619</v>
      </c>
      <c r="K24" s="78">
        <f>IFERROR('Data Sheet'!J27,0)</f>
        <v>953</v>
      </c>
      <c r="L24" s="78">
        <f>IFERROR('Data Sheet'!K27,0)</f>
        <v>1180</v>
      </c>
      <c r="M24" s="19">
        <f>IFERROR(SUM('Data Sheet'!H46:K46),0)</f>
        <v>1262</v>
      </c>
      <c r="O24" s="39"/>
    </row>
    <row r="25" spans="2:16" x14ac:dyDescent="0.25">
      <c r="B25" s="20" t="s">
        <v>67</v>
      </c>
      <c r="C25" s="16">
        <f>IFERROR(C24/C6,0)</f>
        <v>2.845975704386528E-3</v>
      </c>
      <c r="D25" s="16">
        <f t="shared" ref="D25:M25" si="10">IFERROR(D24/D6,0)</f>
        <v>3.2829252526555899E-3</v>
      </c>
      <c r="E25" s="16">
        <f t="shared" si="10"/>
        <v>2.6564171636704868E-3</v>
      </c>
      <c r="F25" s="16">
        <f t="shared" si="10"/>
        <v>7.8852365570967128E-3</v>
      </c>
      <c r="G25" s="16">
        <f t="shared" si="10"/>
        <v>9.3790426908150065E-3</v>
      </c>
      <c r="H25" s="16">
        <f t="shared" si="10"/>
        <v>7.5697072815028299E-3</v>
      </c>
      <c r="I25" s="16">
        <f t="shared" si="10"/>
        <v>7.3937153419593345E-3</v>
      </c>
      <c r="J25" s="16">
        <f t="shared" si="10"/>
        <v>1.2117297001017931E-2</v>
      </c>
      <c r="K25" s="16">
        <f t="shared" si="10"/>
        <v>1.5763530501521766E-2</v>
      </c>
      <c r="L25" s="16">
        <f t="shared" si="10"/>
        <v>1.3472780416514432E-2</v>
      </c>
      <c r="M25" s="16">
        <f t="shared" si="10"/>
        <v>1.3655496283151368E-2</v>
      </c>
      <c r="O25" s="39"/>
    </row>
    <row r="26" spans="2:16" x14ac:dyDescent="0.25">
      <c r="O26" s="39"/>
      <c r="P26" s="65"/>
    </row>
    <row r="27" spans="2:16" s="19" customFormat="1" x14ac:dyDescent="0.25">
      <c r="B27" t="s">
        <v>5</v>
      </c>
      <c r="C27" s="78">
        <f>IFERROR('Data Sheet'!B26,0)</f>
        <v>110.53</v>
      </c>
      <c r="D27" s="78">
        <f>IFERROR('Data Sheet'!C26,0)</f>
        <v>131.43</v>
      </c>
      <c r="E27" s="78">
        <f>IFERROR('Data Sheet'!D26,0)</f>
        <v>162.84</v>
      </c>
      <c r="F27" s="78">
        <f>IFERROR('Data Sheet'!E26,0)</f>
        <v>348</v>
      </c>
      <c r="G27" s="78">
        <f>IFERROR('Data Sheet'!F26,0)</f>
        <v>375</v>
      </c>
      <c r="H27" s="78">
        <f>IFERROR('Data Sheet'!G26,0)</f>
        <v>399</v>
      </c>
      <c r="I27" s="78">
        <f>IFERROR('Data Sheet'!H26,0)</f>
        <v>441</v>
      </c>
      <c r="J27" s="78">
        <f>IFERROR('Data Sheet'!I26,0)</f>
        <v>584</v>
      </c>
      <c r="K27" s="78">
        <f>IFERROR('Data Sheet'!J26,0)</f>
        <v>693</v>
      </c>
      <c r="L27" s="78">
        <f>IFERROR('Data Sheet'!K26,0)</f>
        <v>826</v>
      </c>
      <c r="M27" s="19">
        <f>IFERROR(SUM('Data Sheet'!H45:K45),0)</f>
        <v>898</v>
      </c>
    </row>
    <row r="28" spans="2:16" x14ac:dyDescent="0.25">
      <c r="B28" s="20" t="s">
        <v>68</v>
      </c>
      <c r="C28" s="16">
        <f>C27/C6</f>
        <v>8.3350740489094577E-3</v>
      </c>
      <c r="D28" s="16">
        <f t="shared" ref="D28:L28" si="11">D27/D6</f>
        <v>8.1533421382563153E-3</v>
      </c>
      <c r="E28" s="16">
        <f t="shared" si="11"/>
        <v>8.2331741707670752E-3</v>
      </c>
      <c r="F28" s="16">
        <f t="shared" si="11"/>
        <v>1.6530495914877447E-2</v>
      </c>
      <c r="G28" s="16">
        <f t="shared" si="11"/>
        <v>1.7325817778599151E-2</v>
      </c>
      <c r="H28" s="16">
        <f t="shared" si="11"/>
        <v>1.3854647730823988E-2</v>
      </c>
      <c r="I28" s="16">
        <f t="shared" si="11"/>
        <v>1.0868761552680222E-2</v>
      </c>
      <c r="J28" s="16">
        <f t="shared" si="11"/>
        <v>1.1432150967034689E-2</v>
      </c>
      <c r="K28" s="16">
        <f t="shared" si="11"/>
        <v>1.146288209606987E-2</v>
      </c>
      <c r="L28" s="16">
        <f t="shared" si="11"/>
        <v>9.4309462915601015E-3</v>
      </c>
      <c r="M28" s="16">
        <f>M27/M6</f>
        <v>9.7168269907051737E-3</v>
      </c>
      <c r="O28" s="72"/>
    </row>
    <row r="29" spans="2:16" x14ac:dyDescent="0.25">
      <c r="O29" s="39"/>
    </row>
    <row r="30" spans="2:16" s="19" customFormat="1" x14ac:dyDescent="0.25">
      <c r="B30" s="25" t="s">
        <v>69</v>
      </c>
      <c r="C30" s="26">
        <f>IFERROR(C18-SUM(-1*C21,C24,C27),0)</f>
        <v>973.24999999999966</v>
      </c>
      <c r="D30" s="26">
        <f>IFERROR(D18-SUM(-1*D21,D24,D27),0)</f>
        <v>1529.7800000000011</v>
      </c>
      <c r="E30" s="26">
        <f t="shared" ref="E30:K30" si="12">IFERROR(E18-SUM(-1*E21,E24,E27),0)</f>
        <v>1956.8900000000008</v>
      </c>
      <c r="F30" s="26">
        <f t="shared" si="12"/>
        <v>2102</v>
      </c>
      <c r="G30" s="26">
        <f t="shared" si="12"/>
        <v>1327</v>
      </c>
      <c r="H30" s="26">
        <f t="shared" si="12"/>
        <v>2904</v>
      </c>
      <c r="I30" s="26">
        <f t="shared" si="12"/>
        <v>4447</v>
      </c>
      <c r="J30" s="26">
        <f t="shared" si="12"/>
        <v>4623</v>
      </c>
      <c r="K30" s="26">
        <f t="shared" si="12"/>
        <v>4535</v>
      </c>
      <c r="L30" s="26">
        <f t="shared" ref="L30:M30" si="13">IFERROR(L18-SUM(-1*L21,L24,L27),0)</f>
        <v>6801</v>
      </c>
      <c r="M30" s="26">
        <f t="shared" si="13"/>
        <v>7751</v>
      </c>
    </row>
    <row r="31" spans="2:16" x14ac:dyDescent="0.25">
      <c r="B31" s="20" t="s">
        <v>70</v>
      </c>
      <c r="C31" s="16">
        <f>C30/C6</f>
        <v>7.3392841926184088E-2</v>
      </c>
      <c r="D31" s="16">
        <f t="shared" ref="D31:M31" si="14">D30/D6</f>
        <v>9.4900857766581109E-2</v>
      </c>
      <c r="E31" s="16">
        <f t="shared" si="14"/>
        <v>9.894016336915E-2</v>
      </c>
      <c r="F31" s="16">
        <f t="shared" si="14"/>
        <v>9.9847995439863196E-2</v>
      </c>
      <c r="G31" s="16">
        <f t="shared" si="14"/>
        <v>6.1310293845869522E-2</v>
      </c>
      <c r="H31" s="16">
        <f t="shared" si="14"/>
        <v>0.10083683461231292</v>
      </c>
      <c r="I31" s="16">
        <f t="shared" si="14"/>
        <v>0.10959950708564387</v>
      </c>
      <c r="J31" s="16">
        <f t="shared" si="14"/>
        <v>9.0498003288700959E-2</v>
      </c>
      <c r="K31" s="16">
        <f t="shared" si="14"/>
        <v>7.5013232764324464E-2</v>
      </c>
      <c r="L31" s="16">
        <f t="shared" si="14"/>
        <v>7.7651169163317504E-2</v>
      </c>
      <c r="M31" s="16">
        <f t="shared" si="14"/>
        <v>8.3869850785028732E-2</v>
      </c>
    </row>
    <row r="33" spans="2:13" s="19" customFormat="1" x14ac:dyDescent="0.25">
      <c r="B33" t="s">
        <v>8</v>
      </c>
      <c r="C33" s="78">
        <f>IFERROR('Data Sheet'!B29,0)</f>
        <v>275.97000000000003</v>
      </c>
      <c r="D33" s="78">
        <f>IFERROR('Data Sheet'!C29,0)</f>
        <v>427.87</v>
      </c>
      <c r="E33" s="78">
        <f>IFERROR('Data Sheet'!D29,0)</f>
        <v>568.24</v>
      </c>
      <c r="F33" s="78">
        <f>IFERROR('Data Sheet'!E29,0)</f>
        <v>609</v>
      </c>
      <c r="G33" s="78">
        <f>IFERROR('Data Sheet'!F29,0)</f>
        <v>353</v>
      </c>
      <c r="H33" s="78">
        <f>IFERROR('Data Sheet'!G29,0)</f>
        <v>706</v>
      </c>
      <c r="I33" s="78">
        <f>IFERROR('Data Sheet'!H29,0)</f>
        <v>1173</v>
      </c>
      <c r="J33" s="78">
        <f>IFERROR('Data Sheet'!I29,0)</f>
        <v>1127</v>
      </c>
      <c r="K33" s="78">
        <f>IFERROR('Data Sheet'!J29,0)</f>
        <v>1198</v>
      </c>
      <c r="L33" s="78">
        <f>IFERROR('Data Sheet'!K29,0)</f>
        <v>1728</v>
      </c>
      <c r="M33" s="19">
        <f>IFERROR(SUM('Data Sheet'!H48:K48),0)</f>
        <v>1991</v>
      </c>
    </row>
    <row r="34" spans="2:13" x14ac:dyDescent="0.25">
      <c r="B34" s="20" t="s">
        <v>71</v>
      </c>
      <c r="C34" s="16">
        <f>C33/C30</f>
        <v>0.28355509889545349</v>
      </c>
      <c r="D34" s="16">
        <f t="shared" ref="D34:M34" si="15">D33/D30</f>
        <v>0.27969381218214362</v>
      </c>
      <c r="E34" s="16">
        <f t="shared" si="15"/>
        <v>0.29037912197415278</v>
      </c>
      <c r="F34" s="16">
        <f t="shared" si="15"/>
        <v>0.28972407231208375</v>
      </c>
      <c r="G34" s="16">
        <f t="shared" si="15"/>
        <v>0.26601356443104746</v>
      </c>
      <c r="H34" s="16">
        <f t="shared" si="15"/>
        <v>0.24311294765840222</v>
      </c>
      <c r="I34" s="16">
        <f t="shared" si="15"/>
        <v>0.26377333033505734</v>
      </c>
      <c r="J34" s="16">
        <f t="shared" si="15"/>
        <v>0.24378109452736318</v>
      </c>
      <c r="K34" s="16">
        <f t="shared" si="15"/>
        <v>0.26416758544652702</v>
      </c>
      <c r="L34" s="16">
        <f t="shared" si="15"/>
        <v>0.25408028231142477</v>
      </c>
      <c r="M34" s="16">
        <f t="shared" si="15"/>
        <v>0.25687008127983485</v>
      </c>
    </row>
    <row r="36" spans="2:13" s="19" customFormat="1" x14ac:dyDescent="0.25">
      <c r="B36" s="25" t="s">
        <v>72</v>
      </c>
      <c r="C36" s="26">
        <f>C30-C33</f>
        <v>697.27999999999963</v>
      </c>
      <c r="D36" s="26">
        <f t="shared" ref="D36:M36" si="16">D30-D33</f>
        <v>1101.9100000000012</v>
      </c>
      <c r="E36" s="26">
        <f t="shared" si="16"/>
        <v>1388.6500000000008</v>
      </c>
      <c r="F36" s="26">
        <f t="shared" si="16"/>
        <v>1493</v>
      </c>
      <c r="G36" s="26">
        <f t="shared" si="16"/>
        <v>974</v>
      </c>
      <c r="H36" s="26">
        <f t="shared" si="16"/>
        <v>2198</v>
      </c>
      <c r="I36" s="26">
        <f t="shared" si="16"/>
        <v>3274</v>
      </c>
      <c r="J36" s="26">
        <f t="shared" si="16"/>
        <v>3496</v>
      </c>
      <c r="K36" s="26">
        <f t="shared" si="16"/>
        <v>3337</v>
      </c>
      <c r="L36" s="26">
        <f t="shared" ref="L36" si="17">L30-L33</f>
        <v>5073</v>
      </c>
      <c r="M36" s="26">
        <f t="shared" si="16"/>
        <v>5760</v>
      </c>
    </row>
    <row r="37" spans="2:13" x14ac:dyDescent="0.25">
      <c r="B37" s="20" t="s">
        <v>73</v>
      </c>
      <c r="C37" s="16">
        <f>C36/C6</f>
        <v>5.2581927375586569E-2</v>
      </c>
      <c r="D37" s="16">
        <f t="shared" ref="D37:M37" si="18">D36/D6</f>
        <v>6.8357675078490651E-2</v>
      </c>
      <c r="E37" s="16">
        <f t="shared" si="18"/>
        <v>7.0210005602036996E-2</v>
      </c>
      <c r="F37" s="16">
        <f t="shared" si="18"/>
        <v>7.0919627588827666E-2</v>
      </c>
      <c r="G37" s="16">
        <f t="shared" si="18"/>
        <v>4.5000924043614859E-2</v>
      </c>
      <c r="H37" s="16">
        <f t="shared" si="18"/>
        <v>7.632209451717073E-2</v>
      </c>
      <c r="I37" s="16">
        <f t="shared" si="18"/>
        <v>8.0690080098582875E-2</v>
      </c>
      <c r="J37" s="16">
        <f t="shared" si="18"/>
        <v>6.8436300994440535E-2</v>
      </c>
      <c r="K37" s="16">
        <f t="shared" si="18"/>
        <v>5.5197168188434564E-2</v>
      </c>
      <c r="L37" s="16">
        <f t="shared" si="18"/>
        <v>5.792153818048959E-2</v>
      </c>
      <c r="M37" s="16">
        <f t="shared" si="18"/>
        <v>6.2326195396950779E-2</v>
      </c>
    </row>
    <row r="39" spans="2:13" x14ac:dyDescent="0.25">
      <c r="B39" t="s">
        <v>74</v>
      </c>
      <c r="C39" s="79">
        <f>IFERROR('Data Sheet'!B93,0)</f>
        <v>88.78</v>
      </c>
      <c r="D39" s="79">
        <f>IFERROR('Data Sheet'!C93,0)</f>
        <v>88.78</v>
      </c>
      <c r="E39" s="79">
        <f>IFERROR('Data Sheet'!D93,0)</f>
        <v>88.78</v>
      </c>
      <c r="F39" s="79">
        <f>IFERROR('Data Sheet'!E93,0)</f>
        <v>88.78</v>
      </c>
      <c r="G39" s="79">
        <f>IFERROR('Data Sheet'!F93,0)</f>
        <v>88.78</v>
      </c>
      <c r="H39" s="79">
        <f>IFERROR('Data Sheet'!G93,0)</f>
        <v>88.78</v>
      </c>
      <c r="I39" s="79">
        <f>IFERROR('Data Sheet'!H93,0)</f>
        <v>88.78</v>
      </c>
      <c r="J39" s="79">
        <f>IFERROR('Data Sheet'!I93,0)</f>
        <v>88.78</v>
      </c>
      <c r="K39" s="79">
        <f>IFERROR('Data Sheet'!J93,0)</f>
        <v>88.78</v>
      </c>
      <c r="L39" s="79">
        <f>IFERROR('Data Sheet'!K93,0)</f>
        <v>88.78</v>
      </c>
      <c r="M39" s="79">
        <f>IFERROR('Data Sheet'!K93,0)</f>
        <v>88.78</v>
      </c>
    </row>
    <row r="41" spans="2:13" s="19" customFormat="1" x14ac:dyDescent="0.25">
      <c r="B41" t="s">
        <v>75</v>
      </c>
      <c r="C41" s="19">
        <f>IFERROR(C36/C39,0)</f>
        <v>7.854021175940523</v>
      </c>
      <c r="D41" s="19">
        <f t="shared" ref="D41:M41" si="19">IFERROR(D36/D39,0)</f>
        <v>12.411691822482554</v>
      </c>
      <c r="E41" s="19">
        <f t="shared" si="19"/>
        <v>15.641473304798387</v>
      </c>
      <c r="F41" s="19">
        <f t="shared" si="19"/>
        <v>16.816850642036496</v>
      </c>
      <c r="G41" s="19">
        <f t="shared" si="19"/>
        <v>10.970939400765937</v>
      </c>
      <c r="H41" s="19">
        <f t="shared" si="19"/>
        <v>24.757828339716152</v>
      </c>
      <c r="I41" s="19">
        <f t="shared" si="19"/>
        <v>36.877675152061272</v>
      </c>
      <c r="J41" s="19">
        <f t="shared" si="19"/>
        <v>39.37823834196891</v>
      </c>
      <c r="K41" s="19">
        <f t="shared" si="19"/>
        <v>37.58729443568371</v>
      </c>
      <c r="L41" s="19">
        <f t="shared" ref="L41" si="20">IFERROR(L36/L39,0)</f>
        <v>57.141248028835321</v>
      </c>
      <c r="M41" s="19">
        <f t="shared" si="19"/>
        <v>64.879477359765716</v>
      </c>
    </row>
    <row r="42" spans="2:13" x14ac:dyDescent="0.25">
      <c r="B42" s="20" t="s">
        <v>76</v>
      </c>
      <c r="C42" s="16"/>
      <c r="D42" s="16">
        <f>IFERROR(D41/C41-1,0)</f>
        <v>0.58029772831574378</v>
      </c>
      <c r="E42" s="16">
        <f t="shared" ref="E42:L42" si="21">IFERROR(E41/D41-1,0)</f>
        <v>0.26022088918332642</v>
      </c>
      <c r="F42" s="16">
        <f t="shared" si="21"/>
        <v>7.5144924927086798E-2</v>
      </c>
      <c r="G42" s="16">
        <f t="shared" si="21"/>
        <v>-0.34762223710649709</v>
      </c>
      <c r="H42" s="16">
        <f t="shared" si="21"/>
        <v>1.2566735112936347</v>
      </c>
      <c r="I42" s="16">
        <f t="shared" si="21"/>
        <v>0.48953594176524096</v>
      </c>
      <c r="J42" s="16">
        <f t="shared" si="21"/>
        <v>6.7806963958460642E-2</v>
      </c>
      <c r="K42" s="16">
        <f t="shared" si="21"/>
        <v>-4.548054919908473E-2</v>
      </c>
      <c r="L42" s="16">
        <f t="shared" si="21"/>
        <v>0.52022774947557693</v>
      </c>
      <c r="M42" s="16">
        <f>IFERROR(M41/K41-1,0)</f>
        <v>0.72610128858255929</v>
      </c>
    </row>
    <row r="44" spans="2:13" s="19" customFormat="1" x14ac:dyDescent="0.25">
      <c r="B44" t="s">
        <v>77</v>
      </c>
      <c r="C44" s="19">
        <f>IFERROR('Data Sheet'!B31/'Historical FS'!C39,0)</f>
        <v>2.6000225275963054</v>
      </c>
      <c r="D44" s="19">
        <f>IFERROR('Data Sheet'!C31/'Historical FS'!D39,0)</f>
        <v>3.7499436810092366</v>
      </c>
      <c r="E44" s="19">
        <f>IFERROR('Data Sheet'!D31/'Historical FS'!E39,0)</f>
        <v>5</v>
      </c>
      <c r="F44" s="19">
        <f>IFERROR('Data Sheet'!E31/'Historical FS'!F39,0)</f>
        <v>4.0099121423744082</v>
      </c>
      <c r="G44" s="19">
        <f>IFERROR('Data Sheet'!F31/'Historical FS'!G39,0)</f>
        <v>4.0099121423744082</v>
      </c>
      <c r="H44" s="19">
        <f>IFERROR('Data Sheet'!G31/'Historical FS'!H39,0)</f>
        <v>7.5185852669520159</v>
      </c>
      <c r="I44" s="19">
        <f>IFERROR('Data Sheet'!H31/'Historical FS'!I39,0)</f>
        <v>10.024780355936022</v>
      </c>
      <c r="J44" s="19">
        <f>IFERROR('Data Sheet'!I31/'Historical FS'!J39,0)</f>
        <v>11.027258391529625</v>
      </c>
      <c r="K44" s="19">
        <f>IFERROR('Data Sheet'!J31/'Historical FS'!K39,0)</f>
        <v>11.027258391529625</v>
      </c>
      <c r="L44" s="19">
        <f>IFERROR('Data Sheet'!K31/'Historical FS'!L39,0)</f>
        <v>15.037170533904032</v>
      </c>
      <c r="M44" s="19">
        <f>IFERROR('Data Sheet'!L31/'Historical FS'!M39,0)</f>
        <v>0</v>
      </c>
    </row>
    <row r="45" spans="2:13" x14ac:dyDescent="0.25">
      <c r="B45" s="20" t="s">
        <v>78</v>
      </c>
      <c r="C45" s="16">
        <f>IFERROR(C44/C41,0)</f>
        <v>0.33104348324919702</v>
      </c>
      <c r="D45" s="16">
        <f t="shared" ref="D45:L45" si="22">IFERROR(D44/D41,0)</f>
        <v>0.30212993801671612</v>
      </c>
      <c r="E45" s="16">
        <f t="shared" si="22"/>
        <v>0.31966298203290949</v>
      </c>
      <c r="F45" s="16">
        <f t="shared" si="22"/>
        <v>0.23844608171466841</v>
      </c>
      <c r="G45" s="16">
        <f t="shared" si="22"/>
        <v>0.3655030800821355</v>
      </c>
      <c r="H45" s="16">
        <f t="shared" si="22"/>
        <v>0.30368516833484988</v>
      </c>
      <c r="I45" s="16">
        <f t="shared" si="22"/>
        <v>0.27183872938301773</v>
      </c>
      <c r="J45" s="16">
        <f t="shared" si="22"/>
        <v>0.28003432494279179</v>
      </c>
      <c r="K45" s="16">
        <f t="shared" si="22"/>
        <v>0.29337728498651489</v>
      </c>
      <c r="L45" s="16">
        <f t="shared" si="22"/>
        <v>0.26315789473684209</v>
      </c>
      <c r="M45" s="16">
        <f>IFERROR(M44/M41,0)</f>
        <v>0</v>
      </c>
    </row>
    <row r="47" spans="2:13" x14ac:dyDescent="0.25">
      <c r="B47" t="s">
        <v>79</v>
      </c>
      <c r="C47" s="18">
        <f>IFERROR(IF(C41&gt;C44,1-C45,0),0)</f>
        <v>0.66895651675080292</v>
      </c>
      <c r="D47" s="18">
        <f t="shared" ref="D47:M47" si="23">IFERROR(IF(D41&gt;D44,1-D45,0),0)</f>
        <v>0.69787006198328383</v>
      </c>
      <c r="E47" s="18">
        <f t="shared" si="23"/>
        <v>0.68033701796709045</v>
      </c>
      <c r="F47" s="18">
        <f t="shared" si="23"/>
        <v>0.76155391828533159</v>
      </c>
      <c r="G47" s="18">
        <f>IFERROR(IF(G41&gt;G44,1-G45,0),0)</f>
        <v>0.6344969199178645</v>
      </c>
      <c r="H47" s="18">
        <f t="shared" si="23"/>
        <v>0.69631483166515018</v>
      </c>
      <c r="I47" s="18">
        <f t="shared" si="23"/>
        <v>0.72816127061698221</v>
      </c>
      <c r="J47" s="18">
        <f t="shared" si="23"/>
        <v>0.71996567505720821</v>
      </c>
      <c r="K47" s="18">
        <f t="shared" si="23"/>
        <v>0.70662271501348517</v>
      </c>
      <c r="L47" s="18">
        <f t="shared" si="23"/>
        <v>0.73684210526315796</v>
      </c>
      <c r="M47" s="18">
        <f t="shared" si="23"/>
        <v>1</v>
      </c>
    </row>
    <row r="49" spans="1:21" x14ac:dyDescent="0.25">
      <c r="A49" s="2" t="s">
        <v>81</v>
      </c>
      <c r="B49" s="13" t="s">
        <v>82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21" x14ac:dyDescent="0.25">
      <c r="B50" s="21" t="s">
        <v>11</v>
      </c>
      <c r="C50" s="78">
        <f>IFERROR('Data Sheet'!B57,0)</f>
        <v>88.78</v>
      </c>
      <c r="D50" s="78">
        <f>IFERROR('Data Sheet'!C57,0)</f>
        <v>88.78</v>
      </c>
      <c r="E50" s="78">
        <f>IFERROR('Data Sheet'!D57,0)</f>
        <v>88.78</v>
      </c>
      <c r="F50" s="78">
        <f>IFERROR('Data Sheet'!E57,0)</f>
        <v>89</v>
      </c>
      <c r="G50" s="78">
        <f>IFERROR('Data Sheet'!F57,0)</f>
        <v>89</v>
      </c>
      <c r="H50" s="78">
        <f>IFERROR('Data Sheet'!G57,0)</f>
        <v>89</v>
      </c>
      <c r="I50" s="78">
        <f>IFERROR('Data Sheet'!H57,0)</f>
        <v>89</v>
      </c>
      <c r="J50" s="78">
        <f>IFERROR('Data Sheet'!I57,0)</f>
        <v>89</v>
      </c>
      <c r="K50" s="78">
        <f>IFERROR('Data Sheet'!J57,0)</f>
        <v>89</v>
      </c>
      <c r="L50" s="78">
        <f>IFERROR('Data Sheet'!K57,0)</f>
        <v>89</v>
      </c>
    </row>
    <row r="51" spans="1:21" x14ac:dyDescent="0.25">
      <c r="B51" s="21" t="s">
        <v>12</v>
      </c>
      <c r="C51" s="78">
        <f>IFERROR('Data Sheet'!B58,0)</f>
        <v>4143.6000000000004</v>
      </c>
      <c r="D51" s="78">
        <f>IFERROR('Data Sheet'!C58,0)</f>
        <v>5001.1000000000004</v>
      </c>
      <c r="E51" s="78">
        <f>IFERROR('Data Sheet'!D58,0)</f>
        <v>5981.37</v>
      </c>
      <c r="F51" s="78">
        <f>IFERROR('Data Sheet'!E58,0)</f>
        <v>6580</v>
      </c>
      <c r="G51" s="78">
        <f>IFERROR('Data Sheet'!F58,0)</f>
        <v>7408</v>
      </c>
      <c r="H51" s="78">
        <f>IFERROR('Data Sheet'!G58,0)</f>
        <v>9214</v>
      </c>
      <c r="I51" s="78">
        <f>IFERROR('Data Sheet'!H58,0)</f>
        <v>11762</v>
      </c>
      <c r="J51" s="78">
        <f>IFERROR('Data Sheet'!I58,0)</f>
        <v>9304</v>
      </c>
      <c r="K51" s="78">
        <f>IFERROR('Data Sheet'!J58,0)</f>
        <v>11535</v>
      </c>
      <c r="L51" s="78">
        <f>IFERROR('Data Sheet'!K58,0)</f>
        <v>15614</v>
      </c>
    </row>
    <row r="52" spans="1:21" x14ac:dyDescent="0.25">
      <c r="B52" s="21" t="s">
        <v>37</v>
      </c>
      <c r="C52" s="78">
        <f>IFERROR('Data Sheet'!B59,0)</f>
        <v>1882.43</v>
      </c>
      <c r="D52" s="78">
        <f>IFERROR('Data Sheet'!C59,0)</f>
        <v>1691.01</v>
      </c>
      <c r="E52" s="78">
        <f>IFERROR('Data Sheet'!D59,0)</f>
        <v>2392.98</v>
      </c>
      <c r="F52" s="78">
        <f>IFERROR('Data Sheet'!E59,0)</f>
        <v>3562</v>
      </c>
      <c r="G52" s="78">
        <f>IFERROR('Data Sheet'!F59,0)</f>
        <v>5638</v>
      </c>
      <c r="H52" s="78">
        <f>IFERROR('Data Sheet'!G59,0)</f>
        <v>7275</v>
      </c>
      <c r="I52" s="78">
        <f>IFERROR('Data Sheet'!H59,0)</f>
        <v>9367</v>
      </c>
      <c r="J52" s="78">
        <f>IFERROR('Data Sheet'!I59,0)</f>
        <v>15528</v>
      </c>
      <c r="K52" s="78">
        <f>IFERROR('Data Sheet'!J59,0)</f>
        <v>20777</v>
      </c>
      <c r="L52" s="78">
        <f>IFERROR('Data Sheet'!K59,0)</f>
        <v>30621</v>
      </c>
      <c r="M52" s="39"/>
      <c r="N52" s="39"/>
      <c r="O52" s="39"/>
      <c r="P52" s="39"/>
      <c r="Q52" s="39"/>
    </row>
    <row r="53" spans="1:21" x14ac:dyDescent="0.25">
      <c r="B53" s="2" t="s">
        <v>233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39"/>
      <c r="N53" s="39"/>
      <c r="O53" s="39"/>
      <c r="P53" s="39"/>
      <c r="Q53" s="39"/>
    </row>
    <row r="54" spans="1:21" x14ac:dyDescent="0.25">
      <c r="B54" s="106" t="s">
        <v>238</v>
      </c>
      <c r="C54" s="78">
        <f>IFERROR('Other liabilities Data'!E4,0)</f>
        <v>26</v>
      </c>
      <c r="D54" s="78">
        <f>IFERROR('Other liabilities Data'!F4,0)</f>
        <v>-2</v>
      </c>
      <c r="E54" s="78">
        <f>IFERROR('Other liabilities Data'!G4,0)</f>
        <v>14</v>
      </c>
      <c r="F54" s="78">
        <f>IFERROR('Other liabilities Data'!H4,0)</f>
        <v>4</v>
      </c>
      <c r="G54" s="78">
        <f>IFERROR('Other liabilities Data'!I4,0)</f>
        <v>5</v>
      </c>
      <c r="H54" s="78">
        <f>IFERROR('Other liabilities Data'!J4,0)</f>
        <v>30</v>
      </c>
      <c r="I54" s="78">
        <f>IFERROR('Other liabilities Data'!K4,0)</f>
        <v>53</v>
      </c>
      <c r="J54" s="78">
        <f>IFERROR('Other liabilities Data'!L4,0)</f>
        <v>0</v>
      </c>
      <c r="K54" s="78">
        <f>IFERROR('Other liabilities Data'!M4,0)</f>
        <v>0</v>
      </c>
      <c r="L54" s="78">
        <f>IFERROR('Other liabilities Data'!N4,0)</f>
        <v>0</v>
      </c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B55" s="106" t="s">
        <v>239</v>
      </c>
      <c r="C55" s="78">
        <f>IFERROR('Other liabilities Data'!E5,0)</f>
        <v>783</v>
      </c>
      <c r="D55" s="78">
        <f>IFERROR('Other liabilities Data'!F5,0)</f>
        <v>878</v>
      </c>
      <c r="E55" s="78">
        <f>IFERROR('Other liabilities Data'!G5,0)</f>
        <v>906</v>
      </c>
      <c r="F55" s="78">
        <f>IFERROR('Other liabilities Data'!H5,0)</f>
        <v>596</v>
      </c>
      <c r="G55" s="78">
        <f>IFERROR('Other liabilities Data'!I5,0)</f>
        <v>789</v>
      </c>
      <c r="H55" s="78">
        <f>IFERROR('Other liabilities Data'!J5,0)</f>
        <v>1294</v>
      </c>
      <c r="I55" s="78">
        <f>IFERROR('Other liabilities Data'!K5,0)</f>
        <v>1214</v>
      </c>
      <c r="J55" s="78">
        <f>IFERROR('Other liabilities Data'!L5,0)</f>
        <v>1410</v>
      </c>
      <c r="K55" s="78">
        <f>IFERROR('Other liabilities Data'!M5,0)</f>
        <v>1963</v>
      </c>
      <c r="L55" s="78">
        <f>IFERROR('Other liabilities Data'!N5,0)</f>
        <v>2864</v>
      </c>
      <c r="M55" s="39"/>
      <c r="N55" s="39"/>
      <c r="O55" s="39"/>
      <c r="P55" s="39"/>
      <c r="Q55" s="39"/>
    </row>
    <row r="56" spans="1:21" x14ac:dyDescent="0.25">
      <c r="B56" s="106" t="s">
        <v>240</v>
      </c>
      <c r="C56" s="78">
        <f>IFERROR('Other liabilities Data'!E6,0)</f>
        <v>943</v>
      </c>
      <c r="D56" s="78">
        <f>IFERROR('Other liabilities Data'!F6,0)</f>
        <v>233</v>
      </c>
      <c r="E56" s="78">
        <f>IFERROR('Other liabilities Data'!G6,0)</f>
        <v>290</v>
      </c>
      <c r="F56" s="78">
        <f>IFERROR('Other liabilities Data'!H6,0)</f>
        <v>386</v>
      </c>
      <c r="G56" s="78">
        <f>IFERROR('Other liabilities Data'!I6,0)</f>
        <v>479</v>
      </c>
      <c r="H56" s="78">
        <f>IFERROR('Other liabilities Data'!J6,0)</f>
        <v>532</v>
      </c>
      <c r="I56" s="78">
        <f>IFERROR('Other liabilities Data'!K6,0)</f>
        <v>718</v>
      </c>
      <c r="J56" s="78">
        <f>IFERROR('Other liabilities Data'!L6,0)</f>
        <v>1085</v>
      </c>
      <c r="K56" s="78">
        <f>IFERROR('Other liabilities Data'!M6,0)</f>
        <v>2140</v>
      </c>
      <c r="L56" s="78">
        <f>IFERROR('Other liabilities Data'!N6,0)</f>
        <v>4745</v>
      </c>
      <c r="M56" s="39"/>
      <c r="N56" s="39"/>
      <c r="O56" s="39"/>
      <c r="P56" s="39"/>
      <c r="Q56" s="39"/>
    </row>
    <row r="57" spans="1:21" x14ac:dyDescent="0.25">
      <c r="B57" s="106" t="s">
        <v>241</v>
      </c>
      <c r="C57" s="103">
        <f>IFERROR('Data Sheet'!B60-SUM('Historical FS'!C54:C56),0)</f>
        <v>540.76000000000022</v>
      </c>
      <c r="D57" s="103">
        <f>IFERROR('Data Sheet'!C60-SUM('Historical FS'!D54:D56),0)</f>
        <v>1631.15</v>
      </c>
      <c r="E57" s="103">
        <f>IFERROR('Data Sheet'!D60-SUM('Historical FS'!E54:E56),0)</f>
        <v>2036.71</v>
      </c>
      <c r="F57" s="103">
        <f>IFERROR('Data Sheet'!E60-SUM('Historical FS'!F54:F56),0)</f>
        <v>2327</v>
      </c>
      <c r="G57" s="103">
        <f>IFERROR('Data Sheet'!F60-SUM('Historical FS'!G54:G56),0)</f>
        <v>2036</v>
      </c>
      <c r="H57" s="103">
        <f>IFERROR('Data Sheet'!G60-SUM('Historical FS'!H54:H56),0)</f>
        <v>2754</v>
      </c>
      <c r="I57" s="103">
        <f>IFERROR('Data Sheet'!H60-SUM('Historical FS'!I54:I56),0)</f>
        <v>3817</v>
      </c>
      <c r="J57" s="103">
        <f>IFERROR('Data Sheet'!I60-SUM('Historical FS'!J54:J56),0)</f>
        <v>4131</v>
      </c>
      <c r="K57" s="103">
        <f>IFERROR('Data Sheet'!J60-SUM('Historical FS'!K54:K56),0)</f>
        <v>4141</v>
      </c>
      <c r="L57" s="103">
        <f>IFERROR('Data Sheet'!K60-SUM('Historical FS'!L54:L56),0)</f>
        <v>6628</v>
      </c>
      <c r="M57" s="16"/>
      <c r="N57" s="16"/>
      <c r="O57" s="16"/>
      <c r="P57" s="16"/>
      <c r="Q57" s="16"/>
      <c r="R57" s="16"/>
      <c r="S57" s="16"/>
      <c r="T57" s="73"/>
    </row>
    <row r="58" spans="1:21" x14ac:dyDescent="0.25">
      <c r="B58" s="86" t="s">
        <v>83</v>
      </c>
      <c r="C58" s="88">
        <f t="shared" ref="C58:L58" si="24">IFERROR(SUM(C50:C57),0)</f>
        <v>8407.57</v>
      </c>
      <c r="D58" s="88">
        <f t="shared" si="24"/>
        <v>9521.0400000000009</v>
      </c>
      <c r="E58" s="88">
        <f t="shared" si="24"/>
        <v>11709.84</v>
      </c>
      <c r="F58" s="88">
        <f t="shared" si="24"/>
        <v>13544</v>
      </c>
      <c r="G58" s="88">
        <f t="shared" si="24"/>
        <v>16444</v>
      </c>
      <c r="H58" s="88">
        <f t="shared" si="24"/>
        <v>21188</v>
      </c>
      <c r="I58" s="88">
        <f t="shared" si="24"/>
        <v>27020</v>
      </c>
      <c r="J58" s="88">
        <f t="shared" si="24"/>
        <v>31547</v>
      </c>
      <c r="K58" s="88">
        <f t="shared" si="24"/>
        <v>40645</v>
      </c>
      <c r="L58" s="88">
        <f t="shared" si="24"/>
        <v>60561</v>
      </c>
    </row>
    <row r="59" spans="1:21" x14ac:dyDescent="0.25">
      <c r="B59" s="22"/>
    </row>
    <row r="60" spans="1:21" x14ac:dyDescent="0.25">
      <c r="B60" s="21" t="s">
        <v>84</v>
      </c>
      <c r="C60" s="78">
        <f>IFERROR('Data Sheet'!B62,0)</f>
        <v>1188.72</v>
      </c>
      <c r="D60" s="78">
        <f>IFERROR('Data Sheet'!C62,0)</f>
        <v>1473.81</v>
      </c>
      <c r="E60" s="78">
        <f>IFERROR('Data Sheet'!D62,0)</f>
        <v>1566.63</v>
      </c>
      <c r="F60" s="78">
        <f>IFERROR('Data Sheet'!E62,0)</f>
        <v>2633</v>
      </c>
      <c r="G60" s="78">
        <f>IFERROR('Data Sheet'!F62,0)</f>
        <v>2523</v>
      </c>
      <c r="H60" s="78">
        <f>IFERROR('Data Sheet'!G62,0)</f>
        <v>2544</v>
      </c>
      <c r="I60" s="78">
        <f>IFERROR('Data Sheet'!H62,0)</f>
        <v>2998</v>
      </c>
      <c r="J60" s="78">
        <f>IFERROR('Data Sheet'!I62,0)</f>
        <v>3709</v>
      </c>
      <c r="K60" s="78">
        <f>IFERROR('Data Sheet'!J62,0)</f>
        <v>4062</v>
      </c>
      <c r="L60" s="78">
        <f>IFERROR('Data Sheet'!K62,0)</f>
        <v>6878</v>
      </c>
    </row>
    <row r="61" spans="1:21" x14ac:dyDescent="0.25">
      <c r="B61" s="21" t="s">
        <v>15</v>
      </c>
      <c r="C61" s="78">
        <f>IFERROR('Data Sheet'!B63,0)</f>
        <v>152.07</v>
      </c>
      <c r="D61" s="78">
        <f>IFERROR('Data Sheet'!C63,0)</f>
        <v>43.37</v>
      </c>
      <c r="E61" s="78">
        <f>IFERROR('Data Sheet'!D63,0)</f>
        <v>31.77</v>
      </c>
      <c r="F61" s="78">
        <f>IFERROR('Data Sheet'!E63,0)</f>
        <v>18</v>
      </c>
      <c r="G61" s="78">
        <f>IFERROR('Data Sheet'!F63,0)</f>
        <v>32</v>
      </c>
      <c r="H61" s="78">
        <f>IFERROR('Data Sheet'!G63,0)</f>
        <v>85</v>
      </c>
      <c r="I61" s="78">
        <f>IFERROR('Data Sheet'!H63,0)</f>
        <v>144</v>
      </c>
      <c r="J61" s="78">
        <f>IFERROR('Data Sheet'!I63,0)</f>
        <v>97</v>
      </c>
      <c r="K61" s="78">
        <f>IFERROR('Data Sheet'!J63,0)</f>
        <v>105</v>
      </c>
      <c r="L61" s="78">
        <f>IFERROR('Data Sheet'!K63,0)</f>
        <v>163</v>
      </c>
      <c r="Q61" s="65"/>
    </row>
    <row r="62" spans="1:21" x14ac:dyDescent="0.25">
      <c r="B62" s="21" t="s">
        <v>16</v>
      </c>
      <c r="C62" s="78">
        <f>IFERROR('Data Sheet'!B64,0)</f>
        <v>430.73</v>
      </c>
      <c r="D62" s="78">
        <f>IFERROR('Data Sheet'!C64,0)</f>
        <v>35.99</v>
      </c>
      <c r="E62" s="78">
        <f>IFERROR('Data Sheet'!D64,0)</f>
        <v>108.42</v>
      </c>
      <c r="F62" s="78">
        <f>IFERROR('Data Sheet'!E64,0)</f>
        <v>158</v>
      </c>
      <c r="G62" s="78">
        <f>IFERROR('Data Sheet'!F64,0)</f>
        <v>2824</v>
      </c>
      <c r="H62" s="78">
        <f>IFERROR('Data Sheet'!G64,0)</f>
        <v>294</v>
      </c>
      <c r="I62" s="78">
        <f>IFERROR('Data Sheet'!H64,0)</f>
        <v>2515</v>
      </c>
      <c r="J62" s="78">
        <f>IFERROR('Data Sheet'!I64,0)</f>
        <v>2345</v>
      </c>
      <c r="K62" s="78">
        <f>IFERROR('Data Sheet'!J64,0)</f>
        <v>1988</v>
      </c>
      <c r="L62" s="78">
        <f>IFERROR('Data Sheet'!K64,0)</f>
        <v>3506</v>
      </c>
    </row>
    <row r="63" spans="1:21" x14ac:dyDescent="0.25">
      <c r="B63" s="21" t="s">
        <v>39</v>
      </c>
      <c r="C63" s="19">
        <f>IFERROR('Data Sheet'!B65-SUM('Data Sheet'!B67:B69),0)</f>
        <v>723.77999999999975</v>
      </c>
      <c r="D63" s="19">
        <f>IFERROR('Data Sheet'!C65-SUM('Data Sheet'!C67:C69),0)</f>
        <v>1129.4300000000003</v>
      </c>
      <c r="E63" s="19">
        <f>IFERROR('Data Sheet'!D65-SUM('Data Sheet'!D67:D69),0)</f>
        <v>1477.2700000000004</v>
      </c>
      <c r="F63" s="19">
        <f>IFERROR('Data Sheet'!E65-SUM('Data Sheet'!E67:E69),0)</f>
        <v>1939</v>
      </c>
      <c r="G63" s="19">
        <f>IFERROR('Data Sheet'!F65-SUM('Data Sheet'!F67:F69),0)</f>
        <v>1731</v>
      </c>
      <c r="H63" s="19">
        <f>IFERROR('Data Sheet'!G65-SUM('Data Sheet'!G67:G69),0)</f>
        <v>2518</v>
      </c>
      <c r="I63" s="19">
        <f>IFERROR('Data Sheet'!H65-SUM('Data Sheet'!H67:H69),0)</f>
        <v>2762</v>
      </c>
      <c r="J63" s="19">
        <f>IFERROR('Data Sheet'!I65-SUM('Data Sheet'!I67:I69),0)</f>
        <v>3801</v>
      </c>
      <c r="K63" s="19">
        <f>IFERROR('Data Sheet'!J65-SUM('Data Sheet'!J67:J69),0)</f>
        <v>3654</v>
      </c>
      <c r="L63" s="19">
        <f>IFERROR('Data Sheet'!K65-SUM('Data Sheet'!K67:K69),0)</f>
        <v>4438</v>
      </c>
    </row>
    <row r="64" spans="1:21" x14ac:dyDescent="0.25">
      <c r="B64" s="86" t="s">
        <v>85</v>
      </c>
      <c r="C64" s="88">
        <f>IFERROR(SUM(C60:C63),0)</f>
        <v>2495.2999999999997</v>
      </c>
      <c r="D64" s="88">
        <f t="shared" ref="D64:L64" si="25">IFERROR(SUM(D60:D63),0)</f>
        <v>2682.6000000000004</v>
      </c>
      <c r="E64" s="88">
        <f t="shared" si="25"/>
        <v>3184.0900000000006</v>
      </c>
      <c r="F64" s="88">
        <f t="shared" si="25"/>
        <v>4748</v>
      </c>
      <c r="G64" s="88">
        <f t="shared" si="25"/>
        <v>7110</v>
      </c>
      <c r="H64" s="88">
        <f t="shared" si="25"/>
        <v>5441</v>
      </c>
      <c r="I64" s="88">
        <f t="shared" si="25"/>
        <v>8419</v>
      </c>
      <c r="J64" s="88">
        <f t="shared" si="25"/>
        <v>9952</v>
      </c>
      <c r="K64" s="88">
        <f t="shared" si="25"/>
        <v>9809</v>
      </c>
      <c r="L64" s="88">
        <f t="shared" si="25"/>
        <v>14985</v>
      </c>
    </row>
    <row r="66" spans="1:13" x14ac:dyDescent="0.25">
      <c r="B66" s="21" t="s">
        <v>44</v>
      </c>
      <c r="C66" s="78">
        <f>IFERROR('Data Sheet'!B67,0)</f>
        <v>207.6</v>
      </c>
      <c r="D66" s="78">
        <f>IFERROR('Data Sheet'!C67,0)</f>
        <v>295.69</v>
      </c>
      <c r="E66" s="78">
        <f>IFERROR('Data Sheet'!D67,0)</f>
        <v>420.45</v>
      </c>
      <c r="F66" s="78">
        <f>IFERROR('Data Sheet'!E67,0)</f>
        <v>312</v>
      </c>
      <c r="G66" s="78">
        <f>IFERROR('Data Sheet'!F67,0)</f>
        <v>366</v>
      </c>
      <c r="H66" s="78">
        <f>IFERROR('Data Sheet'!G67,0)</f>
        <v>565</v>
      </c>
      <c r="I66" s="78">
        <f>IFERROR('Data Sheet'!H67,0)</f>
        <v>674</v>
      </c>
      <c r="J66" s="78">
        <f>IFERROR('Data Sheet'!I67,0)</f>
        <v>1018</v>
      </c>
      <c r="K66" s="78">
        <f>IFERROR('Data Sheet'!J67,0)</f>
        <v>1068</v>
      </c>
      <c r="L66" s="78">
        <f>IFERROR('Data Sheet'!K67,0)</f>
        <v>916</v>
      </c>
    </row>
    <row r="67" spans="1:13" x14ac:dyDescent="0.25">
      <c r="B67" s="21" t="s">
        <v>30</v>
      </c>
      <c r="C67" s="78">
        <f>IFERROR('Data Sheet'!B68,0)</f>
        <v>4925.74</v>
      </c>
      <c r="D67" s="78">
        <f>IFERROR('Data Sheet'!C68,0)</f>
        <v>5924.84</v>
      </c>
      <c r="E67" s="78">
        <f>IFERROR('Data Sheet'!D68,0)</f>
        <v>7038.82</v>
      </c>
      <c r="F67" s="78">
        <f>IFERROR('Data Sheet'!E68,0)</f>
        <v>8103</v>
      </c>
      <c r="G67" s="78">
        <f>IFERROR('Data Sheet'!F68,0)</f>
        <v>8408</v>
      </c>
      <c r="H67" s="78">
        <f>IFERROR('Data Sheet'!G68,0)</f>
        <v>13609</v>
      </c>
      <c r="I67" s="78">
        <f>IFERROR('Data Sheet'!H68,0)</f>
        <v>16584</v>
      </c>
      <c r="J67" s="78">
        <f>IFERROR('Data Sheet'!I68,0)</f>
        <v>19051</v>
      </c>
      <c r="K67" s="78">
        <f>IFERROR('Data Sheet'!J68,0)</f>
        <v>28184</v>
      </c>
      <c r="L67" s="78">
        <f>IFERROR('Data Sheet'!K68,0)</f>
        <v>42743</v>
      </c>
    </row>
    <row r="68" spans="1:13" x14ac:dyDescent="0.25">
      <c r="B68" s="23" t="s">
        <v>53</v>
      </c>
      <c r="C68" s="78">
        <f>IFERROR('Data Sheet'!B69,0)</f>
        <v>778.93</v>
      </c>
      <c r="D68" s="78">
        <f>IFERROR('Data Sheet'!C69,0)</f>
        <v>617.91</v>
      </c>
      <c r="E68" s="78">
        <f>IFERROR('Data Sheet'!D69,0)</f>
        <v>1066.48</v>
      </c>
      <c r="F68" s="78">
        <f>IFERROR('Data Sheet'!E69,0)</f>
        <v>381</v>
      </c>
      <c r="G68" s="78">
        <f>IFERROR('Data Sheet'!F69,0)</f>
        <v>560</v>
      </c>
      <c r="H68" s="78">
        <f>IFERROR('Data Sheet'!G69,0)</f>
        <v>1573</v>
      </c>
      <c r="I68" s="78">
        <f>IFERROR('Data Sheet'!H69,0)</f>
        <v>1343</v>
      </c>
      <c r="J68" s="78">
        <f>IFERROR('Data Sheet'!I69,0)</f>
        <v>1526</v>
      </c>
      <c r="K68" s="78">
        <f>IFERROR('Data Sheet'!J69,0)</f>
        <v>1584</v>
      </c>
      <c r="L68" s="78">
        <f>IFERROR('Data Sheet'!K69,0)</f>
        <v>1917</v>
      </c>
    </row>
    <row r="69" spans="1:13" x14ac:dyDescent="0.25">
      <c r="B69" s="86" t="s">
        <v>86</v>
      </c>
      <c r="C69" s="88">
        <f>IFERROR(SUM(C66:C68),0)</f>
        <v>5912.27</v>
      </c>
      <c r="D69" s="88">
        <f t="shared" ref="D69:L69" si="26">IFERROR(SUM(D66:D68),0)</f>
        <v>6838.44</v>
      </c>
      <c r="E69" s="88">
        <f t="shared" si="26"/>
        <v>8525.75</v>
      </c>
      <c r="F69" s="88">
        <f t="shared" si="26"/>
        <v>8796</v>
      </c>
      <c r="G69" s="88">
        <f t="shared" si="26"/>
        <v>9334</v>
      </c>
      <c r="H69" s="88">
        <f t="shared" si="26"/>
        <v>15747</v>
      </c>
      <c r="I69" s="88">
        <f t="shared" si="26"/>
        <v>18601</v>
      </c>
      <c r="J69" s="88">
        <f t="shared" si="26"/>
        <v>21595</v>
      </c>
      <c r="K69" s="88">
        <f t="shared" si="26"/>
        <v>30836</v>
      </c>
      <c r="L69" s="88">
        <f t="shared" si="26"/>
        <v>45576</v>
      </c>
    </row>
    <row r="71" spans="1:13" ht="15.75" thickBot="1" x14ac:dyDescent="0.3">
      <c r="B71" s="87" t="s">
        <v>87</v>
      </c>
      <c r="C71" s="90">
        <f>IFERROR(C69+C64,0)</f>
        <v>8407.57</v>
      </c>
      <c r="D71" s="90">
        <f t="shared" ref="D71:L71" si="27">IFERROR(D69+D64,0)</f>
        <v>9521.0400000000009</v>
      </c>
      <c r="E71" s="90">
        <f t="shared" si="27"/>
        <v>11709.84</v>
      </c>
      <c r="F71" s="90">
        <f t="shared" si="27"/>
        <v>13544</v>
      </c>
      <c r="G71" s="90">
        <f t="shared" si="27"/>
        <v>16444</v>
      </c>
      <c r="H71" s="90">
        <f t="shared" si="27"/>
        <v>21188</v>
      </c>
      <c r="I71" s="90">
        <f t="shared" si="27"/>
        <v>27020</v>
      </c>
      <c r="J71" s="90">
        <f t="shared" si="27"/>
        <v>31547</v>
      </c>
      <c r="K71" s="90">
        <f t="shared" si="27"/>
        <v>40645</v>
      </c>
      <c r="L71" s="90">
        <f t="shared" si="27"/>
        <v>60561</v>
      </c>
    </row>
    <row r="72" spans="1:13" ht="15.75" thickTop="1" x14ac:dyDescent="0.25"/>
    <row r="73" spans="1:13" x14ac:dyDescent="0.25">
      <c r="B73" s="24" t="s">
        <v>88</v>
      </c>
      <c r="C73" s="15" t="b">
        <f>C71=C58</f>
        <v>1</v>
      </c>
      <c r="D73" s="15" t="b">
        <f t="shared" ref="D73:L73" si="28">D71=D58</f>
        <v>1</v>
      </c>
      <c r="E73" s="15" t="b">
        <f t="shared" si="28"/>
        <v>1</v>
      </c>
      <c r="F73" s="15" t="b">
        <f t="shared" si="28"/>
        <v>1</v>
      </c>
      <c r="G73" s="15" t="b">
        <f t="shared" si="28"/>
        <v>1</v>
      </c>
      <c r="H73" s="15" t="b">
        <f t="shared" si="28"/>
        <v>1</v>
      </c>
      <c r="I73" s="15" t="b">
        <f t="shared" si="28"/>
        <v>1</v>
      </c>
      <c r="J73" s="15" t="b">
        <f t="shared" si="28"/>
        <v>1</v>
      </c>
      <c r="K73" s="15" t="b">
        <f t="shared" si="28"/>
        <v>1</v>
      </c>
      <c r="L73" s="15" t="b">
        <f t="shared" si="28"/>
        <v>1</v>
      </c>
      <c r="M73" s="15"/>
    </row>
    <row r="74" spans="1:13" x14ac:dyDescent="0.25">
      <c r="B74" s="23"/>
    </row>
    <row r="75" spans="1:13" x14ac:dyDescent="0.25">
      <c r="A75" s="2" t="s">
        <v>81</v>
      </c>
      <c r="B75" s="13" t="s">
        <v>89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x14ac:dyDescent="0.25">
      <c r="B76" s="2" t="s">
        <v>118</v>
      </c>
    </row>
    <row r="77" spans="1:13" x14ac:dyDescent="0.25">
      <c r="B77" t="s">
        <v>91</v>
      </c>
      <c r="C77" s="78">
        <f>IFERROR('Cashflow Data'!E4,0)</f>
        <v>1073</v>
      </c>
      <c r="D77" s="78">
        <f>IFERROR('Cashflow Data'!F4,0)</f>
        <v>1642</v>
      </c>
      <c r="E77" s="78">
        <f>IFERROR('Cashflow Data'!G4,0)</f>
        <v>2183</v>
      </c>
      <c r="F77" s="78">
        <f>IFERROR('Cashflow Data'!H4,0)</f>
        <v>2481</v>
      </c>
      <c r="G77" s="78">
        <f>IFERROR('Cashflow Data'!I4,0)</f>
        <v>1789</v>
      </c>
      <c r="H77" s="78">
        <f>IFERROR('Cashflow Data'!J4,0)</f>
        <v>3298</v>
      </c>
      <c r="I77" s="78">
        <f>IFERROR('Cashflow Data'!K4,0)</f>
        <v>4937</v>
      </c>
      <c r="J77" s="78">
        <f>IFERROR('Cashflow Data'!L4,0)</f>
        <v>5404</v>
      </c>
      <c r="K77" s="78">
        <f>IFERROR('Cashflow Data'!M4,0)</f>
        <v>5774</v>
      </c>
      <c r="L77" s="78">
        <f>IFERROR('Cashflow Data'!N4,0)</f>
        <v>8447</v>
      </c>
    </row>
    <row r="78" spans="1:13" x14ac:dyDescent="0.25">
      <c r="B78" t="s">
        <v>44</v>
      </c>
      <c r="C78" s="78">
        <f>IFERROR('Cashflow Data'!E5,0)</f>
        <v>-12</v>
      </c>
      <c r="D78" s="78">
        <f>IFERROR('Cashflow Data'!F5,0)</f>
        <v>-90</v>
      </c>
      <c r="E78" s="78">
        <f>IFERROR('Cashflow Data'!G5,0)</f>
        <v>-139</v>
      </c>
      <c r="F78" s="78">
        <f>IFERROR('Cashflow Data'!H5,0)</f>
        <v>109</v>
      </c>
      <c r="G78" s="78">
        <f>IFERROR('Cashflow Data'!I5,0)</f>
        <v>-59</v>
      </c>
      <c r="H78" s="78">
        <f>IFERROR('Cashflow Data'!J5,0)</f>
        <v>-207</v>
      </c>
      <c r="I78" s="78">
        <f>IFERROR('Cashflow Data'!K5,0)</f>
        <v>-112</v>
      </c>
      <c r="J78" s="78">
        <f>IFERROR('Cashflow Data'!L5,0)</f>
        <v>-348</v>
      </c>
      <c r="K78" s="78">
        <f>IFERROR('Cashflow Data'!M5,0)</f>
        <v>-95</v>
      </c>
      <c r="L78" s="78">
        <f>IFERROR('Cashflow Data'!N5,0)</f>
        <v>210</v>
      </c>
    </row>
    <row r="79" spans="1:13" x14ac:dyDescent="0.25">
      <c r="B79" t="s">
        <v>30</v>
      </c>
      <c r="C79" s="78">
        <f>IFERROR('Cashflow Data'!E6,0)</f>
        <v>-448</v>
      </c>
      <c r="D79" s="78">
        <f>IFERROR('Cashflow Data'!F6,0)</f>
        <v>-996</v>
      </c>
      <c r="E79" s="78">
        <f>IFERROR('Cashflow Data'!G6,0)</f>
        <v>-1120</v>
      </c>
      <c r="F79" s="78">
        <f>IFERROR('Cashflow Data'!H6,0)</f>
        <v>-1057</v>
      </c>
      <c r="G79" s="78">
        <f>IFERROR('Cashflow Data'!I6,0)</f>
        <v>-316</v>
      </c>
      <c r="H79" s="78">
        <f>IFERROR('Cashflow Data'!J6,0)</f>
        <v>-5199</v>
      </c>
      <c r="I79" s="78">
        <f>IFERROR('Cashflow Data'!K6,0)</f>
        <v>-2977</v>
      </c>
      <c r="J79" s="78">
        <f>IFERROR('Cashflow Data'!L6,0)</f>
        <v>-2462</v>
      </c>
      <c r="K79" s="78">
        <f>IFERROR('Cashflow Data'!M6,0)</f>
        <v>-9072</v>
      </c>
      <c r="L79" s="78">
        <f>IFERROR('Cashflow Data'!N6,0)</f>
        <v>-11592</v>
      </c>
    </row>
    <row r="80" spans="1:13" x14ac:dyDescent="0.25">
      <c r="B80" t="s">
        <v>92</v>
      </c>
      <c r="C80" s="78">
        <f>IFERROR('Cashflow Data'!E7,0)</f>
        <v>238</v>
      </c>
      <c r="D80" s="78">
        <f>IFERROR('Cashflow Data'!F7,0)</f>
        <v>95</v>
      </c>
      <c r="E80" s="78">
        <f>IFERROR('Cashflow Data'!G7,0)</f>
        <v>32</v>
      </c>
      <c r="F80" s="78">
        <f>IFERROR('Cashflow Data'!H7,0)</f>
        <v>-310</v>
      </c>
      <c r="G80" s="78">
        <f>IFERROR('Cashflow Data'!I7,0)</f>
        <v>195</v>
      </c>
      <c r="H80" s="78">
        <f>IFERROR('Cashflow Data'!J7,0)</f>
        <v>504</v>
      </c>
      <c r="I80" s="78">
        <f>IFERROR('Cashflow Data'!K7,0)</f>
        <v>-89</v>
      </c>
      <c r="J80" s="78">
        <f>IFERROR('Cashflow Data'!L7,0)</f>
        <v>196</v>
      </c>
      <c r="K80" s="78">
        <f>IFERROR('Cashflow Data'!M7,0)</f>
        <v>564</v>
      </c>
      <c r="L80" s="78">
        <f>IFERROR('Cashflow Data'!N7,0)</f>
        <v>472</v>
      </c>
    </row>
    <row r="81" spans="2:12" x14ac:dyDescent="0.25">
      <c r="B81" t="s">
        <v>93</v>
      </c>
      <c r="C81" s="78">
        <f>IFERROR('Cashflow Data'!E8,0)</f>
        <v>0</v>
      </c>
      <c r="D81" s="78">
        <f>IFERROR('Cashflow Data'!F8,0)</f>
        <v>3</v>
      </c>
      <c r="E81" s="78">
        <f>IFERROR('Cashflow Data'!G8,0)</f>
        <v>-24</v>
      </c>
      <c r="F81" s="78">
        <f>IFERROR('Cashflow Data'!H8,0)</f>
        <v>-20</v>
      </c>
      <c r="G81" s="78">
        <f>IFERROR('Cashflow Data'!I8,0)</f>
        <v>-8</v>
      </c>
      <c r="H81" s="78">
        <f>IFERROR('Cashflow Data'!J8,0)</f>
        <v>-3</v>
      </c>
      <c r="I81" s="78">
        <f>IFERROR('Cashflow Data'!K8,0)</f>
        <v>-18</v>
      </c>
      <c r="J81" s="78">
        <f>IFERROR('Cashflow Data'!L8,0)</f>
        <v>-21</v>
      </c>
      <c r="K81" s="78">
        <f>IFERROR('Cashflow Data'!M8,0)</f>
        <v>4</v>
      </c>
      <c r="L81" s="78">
        <f>IFERROR('Cashflow Data'!N8,0)</f>
        <v>-8</v>
      </c>
    </row>
    <row r="82" spans="2:12" x14ac:dyDescent="0.25">
      <c r="B82" t="s">
        <v>94</v>
      </c>
      <c r="C82" s="78">
        <f>IFERROR('Cashflow Data'!E9,0)</f>
        <v>763</v>
      </c>
      <c r="D82" s="78">
        <f>IFERROR('Cashflow Data'!F9,0)</f>
        <v>-270</v>
      </c>
      <c r="E82" s="78">
        <f>IFERROR('Cashflow Data'!G9,0)</f>
        <v>741</v>
      </c>
      <c r="F82" s="78">
        <f>IFERROR('Cashflow Data'!H9,0)</f>
        <v>-768</v>
      </c>
      <c r="G82" s="78">
        <f>IFERROR('Cashflow Data'!I9,0)</f>
        <v>2625</v>
      </c>
      <c r="H82" s="78">
        <f>IFERROR('Cashflow Data'!J9,0)</f>
        <v>1188</v>
      </c>
      <c r="I82" s="78">
        <f>IFERROR('Cashflow Data'!K9,0)</f>
        <v>-99</v>
      </c>
      <c r="J82" s="78">
        <f>IFERROR('Cashflow Data'!L9,0)</f>
        <v>42</v>
      </c>
      <c r="K82" s="78">
        <f>IFERROR('Cashflow Data'!M9,0)</f>
        <v>2468</v>
      </c>
      <c r="L82" s="78">
        <f>IFERROR('Cashflow Data'!N9,0)</f>
        <v>7304</v>
      </c>
    </row>
    <row r="83" spans="2:12" x14ac:dyDescent="0.25">
      <c r="B83" t="s">
        <v>95</v>
      </c>
      <c r="C83" s="78">
        <f>IFERROR('Cashflow Data'!E10,0)</f>
        <v>375</v>
      </c>
      <c r="D83" s="78">
        <f>IFERROR('Cashflow Data'!F10,0)</f>
        <v>22</v>
      </c>
      <c r="E83" s="78">
        <f>IFERROR('Cashflow Data'!G10,0)</f>
        <v>206</v>
      </c>
      <c r="F83" s="78">
        <f>IFERROR('Cashflow Data'!H10,0)</f>
        <v>-226</v>
      </c>
      <c r="G83" s="78">
        <f>IFERROR('Cashflow Data'!I10,0)</f>
        <v>184</v>
      </c>
      <c r="H83" s="78">
        <f>IFERROR('Cashflow Data'!J10,0)</f>
        <v>497</v>
      </c>
      <c r="I83" s="78">
        <f>IFERROR('Cashflow Data'!K10,0)</f>
        <v>882</v>
      </c>
      <c r="J83" s="78">
        <f>IFERROR('Cashflow Data'!L10,0)</f>
        <v>57</v>
      </c>
      <c r="K83" s="78">
        <f>IFERROR('Cashflow Data'!M10,0)</f>
        <v>905</v>
      </c>
      <c r="L83" s="78">
        <f>IFERROR('Cashflow Data'!N10,0)</f>
        <v>2494</v>
      </c>
    </row>
    <row r="84" spans="2:12" x14ac:dyDescent="0.25">
      <c r="B84" t="s">
        <v>96</v>
      </c>
      <c r="C84" s="78">
        <f>IFERROR('Cashflow Data'!E11,0)</f>
        <v>916</v>
      </c>
      <c r="D84" s="78">
        <f>IFERROR('Cashflow Data'!F11,0)</f>
        <v>-1237</v>
      </c>
      <c r="E84" s="78">
        <f>IFERROR('Cashflow Data'!G11,0)</f>
        <v>-304</v>
      </c>
      <c r="F84" s="78">
        <f>IFERROR('Cashflow Data'!H11,0)</f>
        <v>-2272</v>
      </c>
      <c r="G84" s="78">
        <f>IFERROR('Cashflow Data'!I11,0)</f>
        <v>2621</v>
      </c>
      <c r="H84" s="78">
        <f>IFERROR('Cashflow Data'!J11,0)</f>
        <v>-3220</v>
      </c>
      <c r="I84" s="78">
        <f>IFERROR('Cashflow Data'!K11,0)</f>
        <v>-2413</v>
      </c>
      <c r="J84" s="78">
        <f>IFERROR('Cashflow Data'!L11,0)</f>
        <v>-2536</v>
      </c>
      <c r="K84" s="78">
        <f>IFERROR('Cashflow Data'!M11,0)</f>
        <v>-5226</v>
      </c>
      <c r="L84" s="78">
        <f>IFERROR('Cashflow Data'!N11,0)</f>
        <v>-1120</v>
      </c>
    </row>
    <row r="85" spans="2:12" x14ac:dyDescent="0.25">
      <c r="B85" t="s">
        <v>97</v>
      </c>
      <c r="C85" s="78">
        <f>IFERROR('Cashflow Data'!E12,0)</f>
        <v>-277</v>
      </c>
      <c r="D85" s="78">
        <f>IFERROR('Cashflow Data'!F12,0)</f>
        <v>-456</v>
      </c>
      <c r="E85" s="78">
        <f>IFERROR('Cashflow Data'!G12,0)</f>
        <v>-636</v>
      </c>
      <c r="F85" s="78">
        <f>IFERROR('Cashflow Data'!H12,0)</f>
        <v>-557</v>
      </c>
      <c r="G85" s="78">
        <f>IFERROR('Cashflow Data'!I12,0)</f>
        <v>-271</v>
      </c>
      <c r="H85" s="78">
        <f>IFERROR('Cashflow Data'!J12,0)</f>
        <v>-802</v>
      </c>
      <c r="I85" s="78">
        <f>IFERROR('Cashflow Data'!K12,0)</f>
        <v>-1154</v>
      </c>
      <c r="J85" s="78">
        <f>IFERROR('Cashflow Data'!L12,0)</f>
        <v>-1173</v>
      </c>
      <c r="K85" s="78">
        <f>IFERROR('Cashflow Data'!M12,0)</f>
        <v>-1089</v>
      </c>
      <c r="L85" s="78">
        <f>IFERROR('Cashflow Data'!N12,0)</f>
        <v>-1737</v>
      </c>
    </row>
    <row r="86" spans="2:12" x14ac:dyDescent="0.25">
      <c r="B86" s="84" t="s">
        <v>150</v>
      </c>
      <c r="C86" s="88">
        <f>IFERROR(SUM(C77:C85)-C84,0)</f>
        <v>1712</v>
      </c>
      <c r="D86" s="88">
        <f t="shared" ref="D86:L86" si="29">IFERROR(SUM(D77:D85)-D84,0)</f>
        <v>-50</v>
      </c>
      <c r="E86" s="88">
        <f t="shared" si="29"/>
        <v>1243</v>
      </c>
      <c r="F86" s="88">
        <f t="shared" si="29"/>
        <v>-348</v>
      </c>
      <c r="G86" s="88">
        <f t="shared" si="29"/>
        <v>4139</v>
      </c>
      <c r="H86" s="88">
        <f t="shared" si="29"/>
        <v>-724</v>
      </c>
      <c r="I86" s="88">
        <f t="shared" si="29"/>
        <v>1370</v>
      </c>
      <c r="J86" s="88">
        <f t="shared" si="29"/>
        <v>1695</v>
      </c>
      <c r="K86" s="88">
        <f t="shared" si="29"/>
        <v>-541</v>
      </c>
      <c r="L86" s="88">
        <f t="shared" si="29"/>
        <v>5590</v>
      </c>
    </row>
    <row r="87" spans="2:12" x14ac:dyDescent="0.25">
      <c r="C87" s="73"/>
    </row>
    <row r="88" spans="2:12" x14ac:dyDescent="0.25">
      <c r="B88" s="2" t="s">
        <v>119</v>
      </c>
    </row>
    <row r="89" spans="2:12" x14ac:dyDescent="0.25">
      <c r="B89" t="s">
        <v>99</v>
      </c>
      <c r="C89" s="78">
        <f>IFERROR('Cashflow Data'!E14,0)</f>
        <v>-256</v>
      </c>
      <c r="D89" s="78">
        <f>IFERROR('Cashflow Data'!F14,0)</f>
        <v>-305</v>
      </c>
      <c r="E89" s="78">
        <f>IFERROR('Cashflow Data'!G14,0)</f>
        <v>-265</v>
      </c>
      <c r="F89" s="78">
        <f>IFERROR('Cashflow Data'!H14,0)</f>
        <v>-355</v>
      </c>
      <c r="G89" s="78">
        <f>IFERROR('Cashflow Data'!I14,0)</f>
        <v>-146</v>
      </c>
      <c r="H89" s="78">
        <f>IFERROR('Cashflow Data'!J14,0)</f>
        <v>-224</v>
      </c>
      <c r="I89" s="78">
        <f>IFERROR('Cashflow Data'!K14,0)</f>
        <v>-432</v>
      </c>
      <c r="J89" s="78">
        <f>IFERROR('Cashflow Data'!L14,0)</f>
        <v>-691</v>
      </c>
      <c r="K89" s="78">
        <f>IFERROR('Cashflow Data'!M14,0)</f>
        <v>-494</v>
      </c>
      <c r="L89" s="78">
        <f>IFERROR('Cashflow Data'!N14,0)</f>
        <v>-902</v>
      </c>
    </row>
    <row r="90" spans="2:12" x14ac:dyDescent="0.25">
      <c r="B90" t="s">
        <v>100</v>
      </c>
      <c r="C90" s="78">
        <f>IFERROR('Cashflow Data'!E15,0)</f>
        <v>5</v>
      </c>
      <c r="D90" s="78">
        <f>IFERROR('Cashflow Data'!F15,0)</f>
        <v>6</v>
      </c>
      <c r="E90" s="78">
        <f>IFERROR('Cashflow Data'!G15,0)</f>
        <v>1</v>
      </c>
      <c r="F90" s="78">
        <f>IFERROR('Cashflow Data'!H15,0)</f>
        <v>10</v>
      </c>
      <c r="G90" s="78">
        <f>IFERROR('Cashflow Data'!I15,0)</f>
        <v>7</v>
      </c>
      <c r="H90" s="78">
        <f>IFERROR('Cashflow Data'!J15,0)</f>
        <v>8</v>
      </c>
      <c r="I90" s="78">
        <f>IFERROR('Cashflow Data'!K15,0)</f>
        <v>12</v>
      </c>
      <c r="J90" s="78">
        <f>IFERROR('Cashflow Data'!L15,0)</f>
        <v>20</v>
      </c>
      <c r="K90" s="78">
        <f>IFERROR('Cashflow Data'!M15,0)</f>
        <v>24</v>
      </c>
      <c r="L90" s="78">
        <f>IFERROR('Cashflow Data'!N15,0)</f>
        <v>25</v>
      </c>
    </row>
    <row r="91" spans="2:12" x14ac:dyDescent="0.25">
      <c r="B91" t="s">
        <v>101</v>
      </c>
      <c r="C91" s="78">
        <f>IFERROR('Cashflow Data'!E16,0)</f>
        <v>-325</v>
      </c>
      <c r="D91" s="78">
        <f>IFERROR('Cashflow Data'!F16,0)</f>
        <v>0</v>
      </c>
      <c r="E91" s="78">
        <f>IFERROR('Cashflow Data'!G16,0)</f>
        <v>-36</v>
      </c>
      <c r="F91" s="78">
        <f>IFERROR('Cashflow Data'!H16,0)</f>
        <v>-13</v>
      </c>
      <c r="G91" s="78">
        <f>IFERROR('Cashflow Data'!I16,0)</f>
        <v>-2656</v>
      </c>
      <c r="H91" s="78">
        <f>IFERROR('Cashflow Data'!J16,0)</f>
        <v>-253</v>
      </c>
      <c r="I91" s="78">
        <f>IFERROR('Cashflow Data'!K16,0)</f>
        <v>-2104</v>
      </c>
      <c r="J91" s="78">
        <f>IFERROR('Cashflow Data'!L16,0)</f>
        <v>-21893</v>
      </c>
      <c r="K91" s="78">
        <f>IFERROR('Cashflow Data'!M16,0)</f>
        <v>-15342</v>
      </c>
      <c r="L91" s="78">
        <f>IFERROR('Cashflow Data'!N16,0)</f>
        <v>-22035</v>
      </c>
    </row>
    <row r="92" spans="2:12" x14ac:dyDescent="0.25">
      <c r="B92" t="s">
        <v>102</v>
      </c>
      <c r="C92" s="78">
        <f>IFERROR('Cashflow Data'!E17,0)</f>
        <v>0</v>
      </c>
      <c r="D92" s="78">
        <f>IFERROR('Cashflow Data'!F17,0)</f>
        <v>412</v>
      </c>
      <c r="E92" s="78">
        <f>IFERROR('Cashflow Data'!G17,0)</f>
        <v>18</v>
      </c>
      <c r="F92" s="78">
        <f>IFERROR('Cashflow Data'!H17,0)</f>
        <v>0</v>
      </c>
      <c r="G92" s="78">
        <f>IFERROR('Cashflow Data'!I17,0)</f>
        <v>43</v>
      </c>
      <c r="H92" s="78">
        <f>IFERROR('Cashflow Data'!J17,0)</f>
        <v>2870</v>
      </c>
      <c r="I92" s="78">
        <f>IFERROR('Cashflow Data'!K17,0)</f>
        <v>0</v>
      </c>
      <c r="J92" s="78">
        <f>IFERROR('Cashflow Data'!L17,0)</f>
        <v>22213</v>
      </c>
      <c r="K92" s="78">
        <f>IFERROR('Cashflow Data'!M17,0)</f>
        <v>15747</v>
      </c>
      <c r="L92" s="78">
        <f>IFERROR('Cashflow Data'!N17,0)</f>
        <v>20797</v>
      </c>
    </row>
    <row r="93" spans="2:12" x14ac:dyDescent="0.25">
      <c r="B93" t="s">
        <v>103</v>
      </c>
      <c r="C93" s="78">
        <f>IFERROR('Cashflow Data'!E18,0)</f>
        <v>41</v>
      </c>
      <c r="D93" s="78">
        <f>IFERROR('Cashflow Data'!F18,0)</f>
        <v>64</v>
      </c>
      <c r="E93" s="78">
        <f>IFERROR('Cashflow Data'!G18,0)</f>
        <v>85</v>
      </c>
      <c r="F93" s="78">
        <f>IFERROR('Cashflow Data'!H18,0)</f>
        <v>73</v>
      </c>
      <c r="G93" s="78">
        <f>IFERROR('Cashflow Data'!I18,0)</f>
        <v>49</v>
      </c>
      <c r="H93" s="78">
        <f>IFERROR('Cashflow Data'!J18,0)</f>
        <v>56</v>
      </c>
      <c r="I93" s="78">
        <f>IFERROR('Cashflow Data'!K18,0)</f>
        <v>143</v>
      </c>
      <c r="J93" s="78">
        <f>IFERROR('Cashflow Data'!L18,0)</f>
        <v>249</v>
      </c>
      <c r="K93" s="78">
        <f>IFERROR('Cashflow Data'!M18,0)</f>
        <v>288</v>
      </c>
      <c r="L93" s="78">
        <f>IFERROR('Cashflow Data'!N18,0)</f>
        <v>227</v>
      </c>
    </row>
    <row r="94" spans="2:12" x14ac:dyDescent="0.25">
      <c r="B94" t="s">
        <v>104</v>
      </c>
      <c r="C94" s="78">
        <f>IFERROR('Cashflow Data'!E19,0)</f>
        <v>0</v>
      </c>
      <c r="D94" s="78">
        <f>IFERROR('Cashflow Data'!F19,0)</f>
        <v>0</v>
      </c>
      <c r="E94" s="78">
        <f>IFERROR('Cashflow Data'!G19,0)</f>
        <v>0</v>
      </c>
      <c r="F94" s="78">
        <f>IFERROR('Cashflow Data'!H19,0)</f>
        <v>-39</v>
      </c>
      <c r="G94" s="78">
        <f>IFERROR('Cashflow Data'!I19,0)</f>
        <v>0</v>
      </c>
      <c r="H94" s="78">
        <f>IFERROR('Cashflow Data'!J19,0)</f>
        <v>0</v>
      </c>
      <c r="I94" s="78">
        <f>IFERROR('Cashflow Data'!K19,0)</f>
        <v>0</v>
      </c>
      <c r="J94" s="78">
        <f>IFERROR('Cashflow Data'!L19,0)</f>
        <v>0</v>
      </c>
      <c r="K94" s="78">
        <f>IFERROR('Cashflow Data'!M19,0)</f>
        <v>0</v>
      </c>
      <c r="L94" s="78">
        <f>IFERROR('Cashflow Data'!N19,0)</f>
        <v>0</v>
      </c>
    </row>
    <row r="95" spans="2:12" x14ac:dyDescent="0.25">
      <c r="B95" t="s">
        <v>105</v>
      </c>
      <c r="C95" s="78">
        <f>IFERROR('Cashflow Data'!E20,0)</f>
        <v>0</v>
      </c>
      <c r="D95" s="78">
        <f>IFERROR('Cashflow Data'!F20,0)</f>
        <v>0</v>
      </c>
      <c r="E95" s="78">
        <f>IFERROR('Cashflow Data'!G20,0)</f>
        <v>0</v>
      </c>
      <c r="F95" s="78">
        <f>IFERROR('Cashflow Data'!H20,0)</f>
        <v>0</v>
      </c>
      <c r="G95" s="78">
        <f>IFERROR('Cashflow Data'!I20,0)</f>
        <v>0</v>
      </c>
      <c r="H95" s="78">
        <f>IFERROR('Cashflow Data'!J20,0)</f>
        <v>0</v>
      </c>
      <c r="I95" s="78">
        <f>IFERROR('Cashflow Data'!K20,0)</f>
        <v>0</v>
      </c>
      <c r="J95" s="78">
        <f>IFERROR('Cashflow Data'!L20,0)</f>
        <v>0</v>
      </c>
      <c r="K95" s="78">
        <f>IFERROR('Cashflow Data'!M20,0)</f>
        <v>0</v>
      </c>
      <c r="L95" s="78">
        <f>IFERROR('Cashflow Data'!N20,0)</f>
        <v>0</v>
      </c>
    </row>
    <row r="96" spans="2:12" x14ac:dyDescent="0.25">
      <c r="B96" t="s">
        <v>106</v>
      </c>
      <c r="C96" s="78">
        <f>IFERROR('Cashflow Data'!E21,0)</f>
        <v>-385</v>
      </c>
      <c r="D96" s="78">
        <f>IFERROR('Cashflow Data'!F21,0)</f>
        <v>0</v>
      </c>
      <c r="E96" s="78">
        <f>IFERROR('Cashflow Data'!G21,0)</f>
        <v>0</v>
      </c>
      <c r="F96" s="78">
        <f>IFERROR('Cashflow Data'!H21,0)</f>
        <v>0</v>
      </c>
      <c r="G96" s="78">
        <f>IFERROR('Cashflow Data'!I21,0)</f>
        <v>0</v>
      </c>
      <c r="H96" s="78">
        <f>IFERROR('Cashflow Data'!J21,0)</f>
        <v>0</v>
      </c>
      <c r="I96" s="78">
        <f>IFERROR('Cashflow Data'!K21,0)</f>
        <v>0</v>
      </c>
      <c r="J96" s="78">
        <f>IFERROR('Cashflow Data'!L21,0)</f>
        <v>0</v>
      </c>
      <c r="K96" s="78">
        <f>IFERROR('Cashflow Data'!M21,0)</f>
        <v>0</v>
      </c>
      <c r="L96" s="78">
        <f>IFERROR('Cashflow Data'!N21,0)</f>
        <v>0</v>
      </c>
    </row>
    <row r="97" spans="2:12" x14ac:dyDescent="0.25">
      <c r="B97" t="s">
        <v>107</v>
      </c>
      <c r="C97" s="78">
        <f>IFERROR('Cashflow Data'!E22,0)</f>
        <v>5</v>
      </c>
      <c r="D97" s="78">
        <f>IFERROR('Cashflow Data'!F22,0)</f>
        <v>-35</v>
      </c>
      <c r="E97" s="78">
        <f>IFERROR('Cashflow Data'!G22,0)</f>
        <v>-115</v>
      </c>
      <c r="F97" s="78">
        <f>IFERROR('Cashflow Data'!H22,0)</f>
        <v>200</v>
      </c>
      <c r="G97" s="78">
        <f>IFERROR('Cashflow Data'!I22,0)</f>
        <v>-50</v>
      </c>
      <c r="H97" s="78">
        <f>IFERROR('Cashflow Data'!J22,0)</f>
        <v>-344</v>
      </c>
      <c r="I97" s="78">
        <f>IFERROR('Cashflow Data'!K22,0)</f>
        <v>294</v>
      </c>
      <c r="J97" s="78">
        <f>IFERROR('Cashflow Data'!L22,0)</f>
        <v>-143</v>
      </c>
      <c r="K97" s="78">
        <f>IFERROR('Cashflow Data'!M22,0)</f>
        <v>243</v>
      </c>
      <c r="L97" s="78">
        <f>IFERROR('Cashflow Data'!N22,0)</f>
        <v>0</v>
      </c>
    </row>
    <row r="98" spans="2:12" x14ac:dyDescent="0.25">
      <c r="B98" t="s">
        <v>108</v>
      </c>
      <c r="C98" s="78">
        <f>IFERROR('Cashflow Data'!E23,0)</f>
        <v>-38</v>
      </c>
      <c r="D98" s="78">
        <f>IFERROR('Cashflow Data'!F23,0)</f>
        <v>-43</v>
      </c>
      <c r="E98" s="78">
        <f>IFERROR('Cashflow Data'!G23,0)</f>
        <v>-485</v>
      </c>
      <c r="F98" s="78">
        <f>IFERROR('Cashflow Data'!H23,0)</f>
        <v>359</v>
      </c>
      <c r="G98" s="78">
        <f>IFERROR('Cashflow Data'!I23,0)</f>
        <v>-46</v>
      </c>
      <c r="H98" s="78">
        <f>IFERROR('Cashflow Data'!J23,0)</f>
        <v>-948</v>
      </c>
      <c r="I98" s="78">
        <f>IFERROR('Cashflow Data'!K23,0)</f>
        <v>273</v>
      </c>
      <c r="J98" s="78">
        <f>IFERROR('Cashflow Data'!L23,0)</f>
        <v>56</v>
      </c>
      <c r="K98" s="78">
        <f>IFERROR('Cashflow Data'!M23,0)</f>
        <v>80</v>
      </c>
      <c r="L98" s="78">
        <f>IFERROR('Cashflow Data'!N23,0)</f>
        <v>-1077</v>
      </c>
    </row>
    <row r="99" spans="2:12" x14ac:dyDescent="0.25">
      <c r="B99" s="84" t="s">
        <v>122</v>
      </c>
      <c r="C99" s="88">
        <f>IFERROR(SUM(C89:C98),0)</f>
        <v>-953</v>
      </c>
      <c r="D99" s="88">
        <f t="shared" ref="D99:L99" si="30">IFERROR(SUM(D89:D98),0)</f>
        <v>99</v>
      </c>
      <c r="E99" s="88">
        <f t="shared" si="30"/>
        <v>-797</v>
      </c>
      <c r="F99" s="88">
        <f t="shared" si="30"/>
        <v>235</v>
      </c>
      <c r="G99" s="88">
        <f t="shared" si="30"/>
        <v>-2799</v>
      </c>
      <c r="H99" s="88">
        <f t="shared" si="30"/>
        <v>1165</v>
      </c>
      <c r="I99" s="88">
        <f t="shared" si="30"/>
        <v>-1814</v>
      </c>
      <c r="J99" s="88">
        <f t="shared" si="30"/>
        <v>-189</v>
      </c>
      <c r="K99" s="88">
        <f t="shared" si="30"/>
        <v>546</v>
      </c>
      <c r="L99" s="88">
        <f t="shared" si="30"/>
        <v>-2965</v>
      </c>
    </row>
    <row r="101" spans="2:12" x14ac:dyDescent="0.25">
      <c r="B101" s="2" t="s">
        <v>121</v>
      </c>
    </row>
    <row r="102" spans="2:12" x14ac:dyDescent="0.25">
      <c r="B102" t="s">
        <v>110</v>
      </c>
      <c r="C102" s="78">
        <f>IFERROR('Cashflow Data'!E25,0)</f>
        <v>0</v>
      </c>
      <c r="D102" s="78">
        <f>IFERROR('Cashflow Data'!F25,0)</f>
        <v>0</v>
      </c>
      <c r="E102" s="78">
        <f>IFERROR('Cashflow Data'!G25,0)</f>
        <v>0</v>
      </c>
      <c r="F102" s="78">
        <f>IFERROR('Cashflow Data'!H25,0)</f>
        <v>693</v>
      </c>
      <c r="G102" s="78">
        <f>IFERROR('Cashflow Data'!I25,0)</f>
        <v>0</v>
      </c>
      <c r="H102" s="78">
        <f>IFERROR('Cashflow Data'!J25,0)</f>
        <v>349</v>
      </c>
      <c r="I102" s="78">
        <f>IFERROR('Cashflow Data'!K25,0)</f>
        <v>1684</v>
      </c>
      <c r="J102" s="78">
        <f>IFERROR('Cashflow Data'!L25,0)</f>
        <v>5629</v>
      </c>
      <c r="K102" s="78">
        <f>IFERROR('Cashflow Data'!M25,0)</f>
        <v>2599</v>
      </c>
      <c r="L102" s="78">
        <f>IFERROR('Cashflow Data'!N25,0)</f>
        <v>3314</v>
      </c>
    </row>
    <row r="103" spans="2:12" x14ac:dyDescent="0.25">
      <c r="B103" t="s">
        <v>111</v>
      </c>
      <c r="C103" s="78">
        <f>IFERROR('Cashflow Data'!E26,0)</f>
        <v>0</v>
      </c>
      <c r="D103" s="78">
        <f>IFERROR('Cashflow Data'!F26,0)</f>
        <v>0</v>
      </c>
      <c r="E103" s="78">
        <f>IFERROR('Cashflow Data'!G26,0)</f>
        <v>-39</v>
      </c>
      <c r="F103" s="78">
        <f>IFERROR('Cashflow Data'!H26,0)</f>
        <v>0</v>
      </c>
      <c r="G103" s="78">
        <f>IFERROR('Cashflow Data'!I26,0)</f>
        <v>-562</v>
      </c>
      <c r="H103" s="78">
        <f>IFERROR('Cashflow Data'!J26,0)</f>
        <v>-7</v>
      </c>
      <c r="I103" s="78">
        <f>IFERROR('Cashflow Data'!K26,0)</f>
        <v>-7</v>
      </c>
      <c r="J103" s="78">
        <f>IFERROR('Cashflow Data'!L26,0)</f>
        <v>0</v>
      </c>
      <c r="K103" s="78">
        <f>IFERROR('Cashflow Data'!M26,0)</f>
        <v>-378</v>
      </c>
      <c r="L103" s="78">
        <f>IFERROR('Cashflow Data'!N26,0)</f>
        <v>-2632</v>
      </c>
    </row>
    <row r="104" spans="2:12" x14ac:dyDescent="0.25">
      <c r="B104" t="s">
        <v>112</v>
      </c>
      <c r="C104" s="78">
        <f>IFERROR('Cashflow Data'!E27,0)</f>
        <v>-38</v>
      </c>
      <c r="D104" s="78">
        <f>IFERROR('Cashflow Data'!F27,0)</f>
        <v>-54</v>
      </c>
      <c r="E104" s="78">
        <f>IFERROR('Cashflow Data'!G27,0)</f>
        <v>-53</v>
      </c>
      <c r="F104" s="78">
        <f>IFERROR('Cashflow Data'!H27,0)</f>
        <v>-399</v>
      </c>
      <c r="G104" s="78">
        <f>IFERROR('Cashflow Data'!I27,0)</f>
        <v>-317</v>
      </c>
      <c r="H104" s="78">
        <f>IFERROR('Cashflow Data'!J27,0)</f>
        <v>-218</v>
      </c>
      <c r="I104" s="78">
        <f>IFERROR('Cashflow Data'!K27,0)</f>
        <v>-300</v>
      </c>
      <c r="J104" s="78">
        <f>IFERROR('Cashflow Data'!L27,0)</f>
        <v>-619</v>
      </c>
      <c r="K104" s="78">
        <f>IFERROR('Cashflow Data'!M27,0)</f>
        <v>-538</v>
      </c>
      <c r="L104" s="78">
        <f>IFERROR('Cashflow Data'!N27,0)</f>
        <v>-1000</v>
      </c>
    </row>
    <row r="105" spans="2:12" x14ac:dyDescent="0.25">
      <c r="B105" t="s">
        <v>113</v>
      </c>
      <c r="C105" s="78">
        <f>IFERROR('Cashflow Data'!E28,0)</f>
        <v>-4</v>
      </c>
      <c r="D105" s="78">
        <f>IFERROR('Cashflow Data'!F28,0)</f>
        <v>-277</v>
      </c>
      <c r="E105" s="78">
        <f>IFERROR('Cashflow Data'!G28,0)</f>
        <v>-397</v>
      </c>
      <c r="F105" s="78">
        <f>IFERROR('Cashflow Data'!H28,0)</f>
        <v>-536</v>
      </c>
      <c r="G105" s="78">
        <f>IFERROR('Cashflow Data'!I28,0)</f>
        <v>-355</v>
      </c>
      <c r="H105" s="78">
        <f>IFERROR('Cashflow Data'!J28,0)</f>
        <v>-355</v>
      </c>
      <c r="I105" s="78">
        <f>IFERROR('Cashflow Data'!K28,0)</f>
        <v>-666</v>
      </c>
      <c r="J105" s="78">
        <f>IFERROR('Cashflow Data'!L28,0)</f>
        <v>-888</v>
      </c>
      <c r="K105" s="78">
        <f>IFERROR('Cashflow Data'!M28,0)</f>
        <v>-976</v>
      </c>
      <c r="L105" s="78">
        <f>IFERROR('Cashflow Data'!N28,0)</f>
        <v>-976</v>
      </c>
    </row>
    <row r="106" spans="2:12" x14ac:dyDescent="0.25">
      <c r="B106" t="s">
        <v>114</v>
      </c>
      <c r="C106" s="78">
        <f>IFERROR('Cashflow Data'!E29,0)</f>
        <v>0</v>
      </c>
      <c r="D106" s="78">
        <f>IFERROR('Cashflow Data'!F29,0)</f>
        <v>0</v>
      </c>
      <c r="E106" s="78">
        <f>IFERROR('Cashflow Data'!G29,0)</f>
        <v>0</v>
      </c>
      <c r="F106" s="78">
        <f>IFERROR('Cashflow Data'!H29,0)</f>
        <v>0</v>
      </c>
      <c r="G106" s="78">
        <f>IFERROR('Cashflow Data'!I29,0)</f>
        <v>0</v>
      </c>
      <c r="H106" s="78">
        <f>IFERROR('Cashflow Data'!J29,0)</f>
        <v>-172</v>
      </c>
      <c r="I106" s="78">
        <f>IFERROR('Cashflow Data'!K29,0)</f>
        <v>-254</v>
      </c>
      <c r="J106" s="78">
        <f>IFERROR('Cashflow Data'!L29,0)</f>
        <v>-318</v>
      </c>
      <c r="K106" s="78">
        <f>IFERROR('Cashflow Data'!M29,0)</f>
        <v>-700</v>
      </c>
      <c r="L106" s="78">
        <f>IFERROR('Cashflow Data'!N29,0)</f>
        <v>-865</v>
      </c>
    </row>
    <row r="107" spans="2:12" x14ac:dyDescent="0.25">
      <c r="B107" t="s">
        <v>115</v>
      </c>
      <c r="C107" s="78">
        <f>IFERROR('Cashflow Data'!E30,0)</f>
        <v>-124</v>
      </c>
      <c r="D107" s="78">
        <f>IFERROR('Cashflow Data'!F30,0)</f>
        <v>79</v>
      </c>
      <c r="E107" s="78">
        <f>IFERROR('Cashflow Data'!G30,0)</f>
        <v>0</v>
      </c>
      <c r="F107" s="78">
        <f>IFERROR('Cashflow Data'!H30,0)</f>
        <v>0</v>
      </c>
      <c r="G107" s="78">
        <f>IFERROR('Cashflow Data'!I30,0)</f>
        <v>0</v>
      </c>
      <c r="H107" s="78">
        <f>IFERROR('Cashflow Data'!J30,0)</f>
        <v>0</v>
      </c>
      <c r="I107" s="78">
        <f>IFERROR('Cashflow Data'!K30,0)</f>
        <v>0</v>
      </c>
      <c r="J107" s="78">
        <f>IFERROR('Cashflow Data'!L30,0)</f>
        <v>-5133</v>
      </c>
      <c r="K107" s="78">
        <f>IFERROR('Cashflow Data'!M30,0)</f>
        <v>-14</v>
      </c>
      <c r="L107" s="78">
        <f>IFERROR('Cashflow Data'!N30,0)</f>
        <v>0</v>
      </c>
    </row>
    <row r="108" spans="2:12" x14ac:dyDescent="0.25">
      <c r="B108" s="84" t="s">
        <v>120</v>
      </c>
      <c r="C108" s="88">
        <f>IFERROR(SUM(C102:C107),0)</f>
        <v>-166</v>
      </c>
      <c r="D108" s="88">
        <f t="shared" ref="D108:L108" si="31">IFERROR(SUM(D102:D107),0)</f>
        <v>-252</v>
      </c>
      <c r="E108" s="88">
        <f t="shared" si="31"/>
        <v>-489</v>
      </c>
      <c r="F108" s="88">
        <f t="shared" si="31"/>
        <v>-242</v>
      </c>
      <c r="G108" s="88">
        <f t="shared" si="31"/>
        <v>-1234</v>
      </c>
      <c r="H108" s="88">
        <f t="shared" si="31"/>
        <v>-403</v>
      </c>
      <c r="I108" s="88">
        <f t="shared" si="31"/>
        <v>457</v>
      </c>
      <c r="J108" s="88">
        <f t="shared" si="31"/>
        <v>-1329</v>
      </c>
      <c r="K108" s="88">
        <f t="shared" si="31"/>
        <v>-7</v>
      </c>
      <c r="L108" s="88">
        <f t="shared" si="31"/>
        <v>-2159</v>
      </c>
    </row>
    <row r="110" spans="2:12" ht="15.75" thickBot="1" x14ac:dyDescent="0.3">
      <c r="B110" s="89" t="s">
        <v>21</v>
      </c>
      <c r="C110" s="90">
        <f>IFERROR(SUM(C86,C99,C108),0)</f>
        <v>593</v>
      </c>
      <c r="D110" s="90">
        <f t="shared" ref="D110:L110" si="32">IFERROR(SUM(D86,D99,D108),0)</f>
        <v>-203</v>
      </c>
      <c r="E110" s="90">
        <f t="shared" si="32"/>
        <v>-43</v>
      </c>
      <c r="F110" s="90">
        <f t="shared" si="32"/>
        <v>-355</v>
      </c>
      <c r="G110" s="90">
        <f t="shared" si="32"/>
        <v>106</v>
      </c>
      <c r="H110" s="90">
        <f t="shared" si="32"/>
        <v>38</v>
      </c>
      <c r="I110" s="90">
        <f t="shared" si="32"/>
        <v>13</v>
      </c>
      <c r="J110" s="90">
        <f t="shared" si="32"/>
        <v>177</v>
      </c>
      <c r="K110" s="90">
        <f t="shared" si="32"/>
        <v>-2</v>
      </c>
      <c r="L110" s="90">
        <f t="shared" si="32"/>
        <v>466</v>
      </c>
    </row>
    <row r="111" spans="2:12" ht="15.75" thickTop="1" x14ac:dyDescent="0.25"/>
  </sheetData>
  <mergeCells count="1">
    <mergeCell ref="B2:M2"/>
  </mergeCells>
  <pageMargins left="0.7" right="0.7" top="0.75" bottom="0.75" header="0.3" footer="0.3"/>
  <pageSetup orientation="portrait" r:id="rId1"/>
  <ignoredErrors>
    <ignoredError sqref="C15:D15 E15:L15 M6 M9 M21 M24 M31:M36 M26:M2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8EA7-B38F-4AF2-A98A-219415CB1E6A}">
  <dimension ref="A2:Q103"/>
  <sheetViews>
    <sheetView showGridLines="0" zoomScaleNormal="100" workbookViewId="0">
      <pane xSplit="2" ySplit="3" topLeftCell="D52" activePane="bottomRight" state="frozen"/>
      <selection activeCell="B2" sqref="B2:L2"/>
      <selection pane="topRight" activeCell="B2" sqref="B2:L2"/>
      <selection pane="bottomLeft" activeCell="B2" sqref="B2:L2"/>
      <selection pane="bottomRight" activeCell="H33" sqref="H33"/>
    </sheetView>
  </sheetViews>
  <sheetFormatPr defaultRowHeight="15" x14ac:dyDescent="0.25"/>
  <cols>
    <col min="1" max="1" width="1.85546875" customWidth="1"/>
    <col min="2" max="2" width="39.140625" bestFit="1" customWidth="1"/>
    <col min="3" max="12" width="13.5703125" customWidth="1"/>
  </cols>
  <sheetData>
    <row r="2" spans="1:13" x14ac:dyDescent="0.25">
      <c r="B2" s="150" t="str">
        <f>"Forcaste - "&amp;'Data Sheet'!B1</f>
        <v>Forcaste - TITAN COMPANY LTD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75"/>
    </row>
    <row r="3" spans="1:13" x14ac:dyDescent="0.25">
      <c r="B3" s="9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  <c r="M3" s="60"/>
    </row>
    <row r="4" spans="1:13" x14ac:dyDescent="0.25">
      <c r="B4" s="146" t="s">
        <v>303</v>
      </c>
      <c r="C4" s="40"/>
      <c r="D4" s="41"/>
      <c r="E4" s="42"/>
    </row>
    <row r="5" spans="1:13" x14ac:dyDescent="0.25">
      <c r="A5" t="s">
        <v>81</v>
      </c>
      <c r="B5" s="13" t="s">
        <v>58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2"/>
    </row>
    <row r="6" spans="1:13" x14ac:dyDescent="0.25">
      <c r="B6" t="s">
        <v>1</v>
      </c>
      <c r="C6" s="78">
        <f>+'Historical FS'!H6</f>
        <v>28799</v>
      </c>
      <c r="D6" s="78">
        <f>+'Historical FS'!I6</f>
        <v>40575</v>
      </c>
      <c r="E6" s="78">
        <f>+'Historical FS'!J6</f>
        <v>51084</v>
      </c>
      <c r="F6" s="78">
        <f>+'Historical FS'!K6</f>
        <v>60456</v>
      </c>
      <c r="G6" s="78">
        <f>+'Historical FS'!L6</f>
        <v>87584</v>
      </c>
      <c r="H6" s="94">
        <f>IFERROR(G6*(1+H7),0)</f>
        <v>106852.48</v>
      </c>
      <c r="I6" s="94">
        <f t="shared" ref="I6:L6" si="1">IFERROR(H6*(1+I7),0)</f>
        <v>125017.40159999998</v>
      </c>
      <c r="J6" s="94">
        <f t="shared" si="1"/>
        <v>143770.01183999996</v>
      </c>
      <c r="K6" s="94">
        <f t="shared" si="1"/>
        <v>163897.81349759997</v>
      </c>
      <c r="L6" s="94">
        <f t="shared" si="1"/>
        <v>185204.52925228796</v>
      </c>
    </row>
    <row r="7" spans="1:13" x14ac:dyDescent="0.25">
      <c r="B7" s="20" t="s">
        <v>10</v>
      </c>
      <c r="C7" s="80"/>
      <c r="D7" s="80">
        <f>+'Historical FS'!I7</f>
        <v>0.40890308691274013</v>
      </c>
      <c r="E7" s="80">
        <f>+'Historical FS'!J7</f>
        <v>0.25900184842883545</v>
      </c>
      <c r="F7" s="80">
        <f>+'Historical FS'!K7</f>
        <v>0.18346253229974163</v>
      </c>
      <c r="G7" s="80">
        <f>+'Historical FS'!L7</f>
        <v>0.448723038242689</v>
      </c>
      <c r="H7" s="98">
        <f>IFERROR(Assumptions!C6,0)</f>
        <v>0.22</v>
      </c>
      <c r="I7" s="98">
        <f>IFERROR(Assumptions!D6,0)</f>
        <v>0.17</v>
      </c>
      <c r="J7" s="98">
        <f>IFERROR(Assumptions!E6,0)</f>
        <v>0.15</v>
      </c>
      <c r="K7" s="98">
        <f>IFERROR(Assumptions!F6,0)</f>
        <v>0.14000000000000001</v>
      </c>
      <c r="L7" s="98">
        <f>IFERROR(Assumptions!G6,0)</f>
        <v>0.13</v>
      </c>
    </row>
    <row r="8" spans="1:13" x14ac:dyDescent="0.25">
      <c r="C8" s="78"/>
      <c r="D8" s="78"/>
      <c r="E8" s="78"/>
      <c r="F8" s="78"/>
      <c r="G8" s="78"/>
    </row>
    <row r="9" spans="1:13" x14ac:dyDescent="0.25">
      <c r="B9" t="s">
        <v>59</v>
      </c>
      <c r="C9" s="78">
        <f>+'Historical FS'!H9</f>
        <v>23225</v>
      </c>
      <c r="D9" s="78">
        <f>+'Historical FS'!I9</f>
        <v>32295</v>
      </c>
      <c r="E9" s="78">
        <f>+'Historical FS'!J9</f>
        <v>41664</v>
      </c>
      <c r="F9" s="78">
        <f>+'Historical FS'!K9</f>
        <v>50024</v>
      </c>
      <c r="G9" s="78">
        <f>+'Historical FS'!L9</f>
        <v>73461</v>
      </c>
      <c r="H9" s="94">
        <f>IFERROR(H6*H10,0)</f>
        <v>87619.033599999995</v>
      </c>
      <c r="I9" s="94">
        <f t="shared" ref="I9:L9" si="2">IFERROR(I6*I10,0)</f>
        <v>101264.095296</v>
      </c>
      <c r="J9" s="94">
        <f t="shared" si="2"/>
        <v>115734.85953119998</v>
      </c>
      <c r="K9" s="94">
        <f t="shared" si="2"/>
        <v>131937.73986556797</v>
      </c>
      <c r="L9" s="94">
        <f t="shared" si="2"/>
        <v>148163.62340183038</v>
      </c>
    </row>
    <row r="10" spans="1:13" x14ac:dyDescent="0.25">
      <c r="B10" s="20" t="s">
        <v>60</v>
      </c>
      <c r="C10" s="80">
        <f>+'Historical FS'!H10</f>
        <v>0.80645161290322576</v>
      </c>
      <c r="D10" s="80">
        <f>+'Historical FS'!I10</f>
        <v>0.79593345656192238</v>
      </c>
      <c r="E10" s="80">
        <f>+'Historical FS'!J10</f>
        <v>0.81559783885365278</v>
      </c>
      <c r="F10" s="80">
        <f>+'Historical FS'!K10</f>
        <v>0.82744475320894539</v>
      </c>
      <c r="G10" s="80">
        <f>+'Historical FS'!L10</f>
        <v>0.83874908659115821</v>
      </c>
      <c r="H10" s="98">
        <f>IFERROR(Assumptions!C7,0)</f>
        <v>0.82</v>
      </c>
      <c r="I10" s="98">
        <f>IFERROR(Assumptions!D7,0)</f>
        <v>0.81</v>
      </c>
      <c r="J10" s="98">
        <f>IFERROR(Assumptions!E7,0)</f>
        <v>0.80500000000000005</v>
      </c>
      <c r="K10" s="98">
        <f>IFERROR(Assumptions!F7,0)</f>
        <v>0.80500000000000005</v>
      </c>
      <c r="L10" s="98">
        <f>IFERROR(Assumptions!G7,0)</f>
        <v>0.8</v>
      </c>
    </row>
    <row r="11" spans="1:13" x14ac:dyDescent="0.25">
      <c r="C11" s="78"/>
      <c r="D11" s="78"/>
      <c r="E11" s="78"/>
      <c r="F11" s="78"/>
      <c r="G11" s="78"/>
    </row>
    <row r="12" spans="1:13" x14ac:dyDescent="0.25">
      <c r="B12" s="25" t="s">
        <v>61</v>
      </c>
      <c r="C12" s="85">
        <f>+'Historical FS'!H12</f>
        <v>5574</v>
      </c>
      <c r="D12" s="85">
        <f>+'Historical FS'!I12</f>
        <v>8280</v>
      </c>
      <c r="E12" s="85">
        <f>+'Historical FS'!J12</f>
        <v>9420</v>
      </c>
      <c r="F12" s="85">
        <f>+'Historical FS'!K12</f>
        <v>10432</v>
      </c>
      <c r="G12" s="85">
        <f>+'Historical FS'!L12</f>
        <v>14123</v>
      </c>
      <c r="H12" s="96">
        <f>IFERROR(H6-H9,0)</f>
        <v>19233.446400000001</v>
      </c>
      <c r="I12" s="96">
        <f t="shared" ref="I12:L12" si="3">IFERROR(I6-I9,0)</f>
        <v>23753.306303999983</v>
      </c>
      <c r="J12" s="96">
        <f t="shared" si="3"/>
        <v>28035.152308799981</v>
      </c>
      <c r="K12" s="96">
        <f t="shared" si="3"/>
        <v>31960.073632031999</v>
      </c>
      <c r="L12" s="96">
        <f t="shared" si="3"/>
        <v>37040.905850457581</v>
      </c>
    </row>
    <row r="13" spans="1:13" x14ac:dyDescent="0.25">
      <c r="B13" s="20" t="s">
        <v>62</v>
      </c>
      <c r="C13" s="80">
        <f>+'Historical FS'!H13</f>
        <v>0.19354838709677419</v>
      </c>
      <c r="D13" s="80">
        <f>+'Historical FS'!I13</f>
        <v>0.20406654343807765</v>
      </c>
      <c r="E13" s="80">
        <f>+'Historical FS'!J13</f>
        <v>0.18440216114634719</v>
      </c>
      <c r="F13" s="80">
        <f>+'Historical FS'!K13</f>
        <v>0.17255524679105466</v>
      </c>
      <c r="G13" s="80">
        <f>+'Historical FS'!L13</f>
        <v>0.16125091340884179</v>
      </c>
      <c r="H13" s="95">
        <f>IFERROR(H12/H6,0)</f>
        <v>0.18000000000000002</v>
      </c>
      <c r="I13" s="95">
        <f t="shared" ref="I13:L13" si="4">IFERROR(I12/I6,0)</f>
        <v>0.18999999999999989</v>
      </c>
      <c r="J13" s="95">
        <f t="shared" si="4"/>
        <v>0.19499999999999992</v>
      </c>
      <c r="K13" s="95">
        <f t="shared" si="4"/>
        <v>0.19500000000000003</v>
      </c>
      <c r="L13" s="95">
        <f t="shared" si="4"/>
        <v>0.19999999999999993</v>
      </c>
    </row>
    <row r="14" spans="1:13" x14ac:dyDescent="0.25">
      <c r="C14" s="78"/>
      <c r="D14" s="78"/>
      <c r="E14" s="78"/>
      <c r="F14" s="78"/>
      <c r="G14" s="78"/>
    </row>
    <row r="15" spans="1:13" x14ac:dyDescent="0.25">
      <c r="B15" t="s">
        <v>63</v>
      </c>
      <c r="C15" s="78">
        <f>+'Historical FS'!H15</f>
        <v>2230</v>
      </c>
      <c r="D15" s="78">
        <f>+'Historical FS'!I15</f>
        <v>3398</v>
      </c>
      <c r="E15" s="78">
        <f>+'Historical FS'!J15</f>
        <v>4128</v>
      </c>
      <c r="F15" s="78">
        <f>+'Historical FS'!K15</f>
        <v>4738</v>
      </c>
      <c r="G15" s="78">
        <f>+'Historical FS'!L15</f>
        <v>5766</v>
      </c>
      <c r="H15" s="94">
        <f>+IFERROR(H6*H16,0)</f>
        <v>9616.7231999999985</v>
      </c>
      <c r="I15" s="94">
        <f t="shared" ref="I15:L15" si="5">+IFERROR(I6*I16,0)</f>
        <v>11251.566143999999</v>
      </c>
      <c r="J15" s="94">
        <f t="shared" si="5"/>
        <v>12939.301065599997</v>
      </c>
      <c r="K15" s="94">
        <f t="shared" si="5"/>
        <v>14750.803214783997</v>
      </c>
      <c r="L15" s="94">
        <f t="shared" si="5"/>
        <v>16668.407632705916</v>
      </c>
    </row>
    <row r="16" spans="1:13" x14ac:dyDescent="0.25">
      <c r="B16" s="20" t="s">
        <v>64</v>
      </c>
      <c r="C16" s="80">
        <f>+'Historical FS'!H16</f>
        <v>7.7433244209868399E-2</v>
      </c>
      <c r="D16" s="80">
        <f>+'Historical FS'!I16</f>
        <v>8.3746149106592727E-2</v>
      </c>
      <c r="E16" s="80">
        <f>+'Historical FS'!J16</f>
        <v>8.0808080808080815E-2</v>
      </c>
      <c r="F16" s="80">
        <f>+'Historical FS'!K16</f>
        <v>7.8371046711658066E-2</v>
      </c>
      <c r="G16" s="80">
        <f>+'Historical FS'!L16</f>
        <v>6.5833942272561202E-2</v>
      </c>
      <c r="H16" s="98">
        <f>IFERROR(Assumptions!C8,0)</f>
        <v>0.09</v>
      </c>
      <c r="I16" s="98">
        <f>IFERROR(Assumptions!D8,0)</f>
        <v>0.09</v>
      </c>
      <c r="J16" s="98">
        <f>IFERROR(Assumptions!E8,0)</f>
        <v>0.09</v>
      </c>
      <c r="K16" s="98">
        <f>IFERROR(Assumptions!F8,0)</f>
        <v>0.09</v>
      </c>
      <c r="L16" s="98">
        <f>IFERROR(Assumptions!G8,0)</f>
        <v>0.09</v>
      </c>
    </row>
    <row r="17" spans="2:12" x14ac:dyDescent="0.25">
      <c r="C17" s="78"/>
      <c r="D17" s="78"/>
      <c r="E17" s="78"/>
      <c r="F17" s="78"/>
      <c r="G17" s="78"/>
    </row>
    <row r="18" spans="2:12" x14ac:dyDescent="0.25">
      <c r="B18" s="25" t="s">
        <v>65</v>
      </c>
      <c r="C18" s="85">
        <f>+'Historical FS'!H18</f>
        <v>3344</v>
      </c>
      <c r="D18" s="85">
        <f>+'Historical FS'!I18</f>
        <v>4882</v>
      </c>
      <c r="E18" s="85">
        <f>+'Historical FS'!J18</f>
        <v>5292</v>
      </c>
      <c r="F18" s="85">
        <f>+'Historical FS'!K18</f>
        <v>5694</v>
      </c>
      <c r="G18" s="85">
        <f>+'Historical FS'!L18</f>
        <v>8357</v>
      </c>
      <c r="H18" s="96">
        <f>IFERROR(H12-H15,0)</f>
        <v>9616.7232000000022</v>
      </c>
      <c r="I18" s="96">
        <f t="shared" ref="I18:L18" si="6">IFERROR(I12-I15,0)</f>
        <v>12501.740159999985</v>
      </c>
      <c r="J18" s="96">
        <f t="shared" si="6"/>
        <v>15095.851243199984</v>
      </c>
      <c r="K18" s="96">
        <f t="shared" si="6"/>
        <v>17209.270417248001</v>
      </c>
      <c r="L18" s="96">
        <f t="shared" si="6"/>
        <v>20372.498217751665</v>
      </c>
    </row>
    <row r="19" spans="2:12" x14ac:dyDescent="0.25">
      <c r="B19" s="20" t="s">
        <v>66</v>
      </c>
      <c r="C19" s="80">
        <f>+'Historical FS'!H19</f>
        <v>0.11611514288690579</v>
      </c>
      <c r="D19" s="80">
        <f>+'Historical FS'!I19</f>
        <v>0.12032039433148491</v>
      </c>
      <c r="E19" s="80">
        <f>+'Historical FS'!J19</f>
        <v>0.10359408033826638</v>
      </c>
      <c r="F19" s="80">
        <f>+'Historical FS'!K19</f>
        <v>9.4184200079396582E-2</v>
      </c>
      <c r="G19" s="80">
        <f>+'Historical FS'!L19</f>
        <v>9.5416971136280601E-2</v>
      </c>
      <c r="H19" s="95">
        <f>IFERROR(H18/H6,0)</f>
        <v>9.0000000000000024E-2</v>
      </c>
      <c r="I19" s="95">
        <f t="shared" ref="I19:L19" si="7">IFERROR(I18/I6,0)</f>
        <v>9.9999999999999895E-2</v>
      </c>
      <c r="J19" s="95">
        <f t="shared" si="7"/>
        <v>0.10499999999999991</v>
      </c>
      <c r="K19" s="95">
        <f t="shared" si="7"/>
        <v>0.10500000000000002</v>
      </c>
      <c r="L19" s="95">
        <f t="shared" si="7"/>
        <v>0.10999999999999995</v>
      </c>
    </row>
    <row r="20" spans="2:12" x14ac:dyDescent="0.25">
      <c r="C20" s="78"/>
      <c r="D20" s="78"/>
      <c r="E20" s="78"/>
      <c r="F20" s="78"/>
      <c r="G20" s="78"/>
    </row>
    <row r="21" spans="2:12" x14ac:dyDescent="0.25">
      <c r="B21" t="s">
        <v>4</v>
      </c>
      <c r="C21" s="78">
        <f>+'Historical FS'!H21</f>
        <v>177</v>
      </c>
      <c r="D21" s="78">
        <f>+'Historical FS'!I21</f>
        <v>306</v>
      </c>
      <c r="E21" s="78">
        <f>+'Historical FS'!J21</f>
        <v>534</v>
      </c>
      <c r="F21" s="78">
        <f>+'Historical FS'!K21</f>
        <v>487</v>
      </c>
      <c r="G21" s="78">
        <f>+'Historical FS'!L21</f>
        <v>450</v>
      </c>
      <c r="H21" s="94">
        <f>IFERROR(H6*H22,0)</f>
        <v>534.26239999999996</v>
      </c>
      <c r="I21" s="94">
        <f t="shared" ref="I21:L21" si="8">IFERROR(I6*I22,0)</f>
        <v>625.08700799999997</v>
      </c>
      <c r="J21" s="94">
        <f t="shared" si="8"/>
        <v>718.85005919999981</v>
      </c>
      <c r="K21" s="94">
        <f t="shared" si="8"/>
        <v>819.48906748799982</v>
      </c>
      <c r="L21" s="94">
        <f t="shared" si="8"/>
        <v>926.02264626143983</v>
      </c>
    </row>
    <row r="22" spans="2:12" x14ac:dyDescent="0.25">
      <c r="B22" s="20" t="s">
        <v>80</v>
      </c>
      <c r="C22" s="80">
        <f>+'Historical FS'!H22</f>
        <v>6.1460467377339491E-3</v>
      </c>
      <c r="D22" s="80">
        <f>+'Historical FS'!I22</f>
        <v>7.5415896487985214E-3</v>
      </c>
      <c r="E22" s="80">
        <f>+'Historical FS'!J22</f>
        <v>1.0453370918487198E-2</v>
      </c>
      <c r="F22" s="80">
        <f>+'Historical FS'!K22</f>
        <v>8.0554452825195178E-3</v>
      </c>
      <c r="G22" s="80">
        <f>+'Historical FS'!L22</f>
        <v>5.1379247351114356E-3</v>
      </c>
      <c r="H22" s="98">
        <f>IFERROR(Assumptions!C10,0)</f>
        <v>5.0000000000000001E-3</v>
      </c>
      <c r="I22" s="98">
        <f>IFERROR(Assumptions!D10,0)</f>
        <v>5.0000000000000001E-3</v>
      </c>
      <c r="J22" s="98">
        <f>IFERROR(Assumptions!E10,0)</f>
        <v>5.0000000000000001E-3</v>
      </c>
      <c r="K22" s="98">
        <f>IFERROR(Assumptions!F10,0)</f>
        <v>5.0000000000000001E-3</v>
      </c>
      <c r="L22" s="98">
        <f>IFERROR(Assumptions!G10,0)</f>
        <v>5.0000000000000001E-3</v>
      </c>
    </row>
    <row r="23" spans="2:12" x14ac:dyDescent="0.25">
      <c r="C23" s="78"/>
      <c r="D23" s="78"/>
      <c r="E23" s="78"/>
      <c r="F23" s="78"/>
      <c r="G23" s="78"/>
    </row>
    <row r="24" spans="2:12" x14ac:dyDescent="0.25">
      <c r="B24" t="s">
        <v>6</v>
      </c>
      <c r="C24" s="78">
        <f>+'Historical FS'!H24</f>
        <v>218</v>
      </c>
      <c r="D24" s="78">
        <f>+'Historical FS'!I24</f>
        <v>300</v>
      </c>
      <c r="E24" s="78">
        <f>+'Historical FS'!J24</f>
        <v>619</v>
      </c>
      <c r="F24" s="78">
        <f>+'Historical FS'!K24</f>
        <v>953</v>
      </c>
      <c r="G24" s="78">
        <f>+'Historical FS'!L24</f>
        <v>1180</v>
      </c>
      <c r="H24" s="97">
        <f>IFERROR('Debt Schedule'!H13,0)</f>
        <v>1335.0755999999999</v>
      </c>
      <c r="I24" s="97">
        <f>IFERROR('Debt Schedule'!I13,0)</f>
        <v>1553.7095399999998</v>
      </c>
      <c r="J24" s="97">
        <f>IFERROR('Debt Schedule'!J13,0)</f>
        <v>1770.1448921999997</v>
      </c>
      <c r="K24" s="97">
        <f>IFERROR('Debt Schedule'!K13,0)</f>
        <v>1981.4819091419995</v>
      </c>
      <c r="L24" s="97">
        <f>IFERROR('Debt Schedule'!L13,0)</f>
        <v>2178.5971000087798</v>
      </c>
    </row>
    <row r="25" spans="2:12" x14ac:dyDescent="0.25">
      <c r="B25" s="20" t="s">
        <v>67</v>
      </c>
      <c r="C25" s="80">
        <f>+'Historical FS'!H25</f>
        <v>7.5697072815028299E-3</v>
      </c>
      <c r="D25" s="80">
        <f>+'Historical FS'!I25</f>
        <v>7.3937153419593345E-3</v>
      </c>
      <c r="E25" s="80">
        <f>+'Historical FS'!J25</f>
        <v>1.2117297001017931E-2</v>
      </c>
      <c r="F25" s="80">
        <f>+'Historical FS'!K25</f>
        <v>1.5763530501521766E-2</v>
      </c>
      <c r="G25" s="80">
        <f>+'Historical FS'!L25</f>
        <v>1.3472780416514432E-2</v>
      </c>
      <c r="H25" s="95">
        <f>IFERROR(H24/H6,0)</f>
        <v>1.2494568212174392E-2</v>
      </c>
      <c r="I25" s="95">
        <f t="shared" ref="I25:L25" si="9">IFERROR(I24/I6,0)</f>
        <v>1.2427946190812528E-2</v>
      </c>
      <c r="J25" s="95">
        <f t="shared" si="9"/>
        <v>1.2312337389037529E-2</v>
      </c>
      <c r="K25" s="95">
        <f t="shared" si="9"/>
        <v>1.2089739740005837E-2</v>
      </c>
      <c r="L25" s="95">
        <f t="shared" si="9"/>
        <v>1.1763195580606277E-2</v>
      </c>
    </row>
    <row r="26" spans="2:12" x14ac:dyDescent="0.25">
      <c r="C26" s="78"/>
      <c r="D26" s="78"/>
      <c r="E26" s="78"/>
      <c r="F26" s="78"/>
      <c r="G26" s="78"/>
    </row>
    <row r="27" spans="2:12" x14ac:dyDescent="0.25">
      <c r="B27" t="s">
        <v>5</v>
      </c>
      <c r="C27" s="78">
        <f>+'Historical FS'!H27</f>
        <v>399</v>
      </c>
      <c r="D27" s="78">
        <f>+'Historical FS'!I27</f>
        <v>441</v>
      </c>
      <c r="E27" s="78">
        <f>+'Historical FS'!J27</f>
        <v>584</v>
      </c>
      <c r="F27" s="78">
        <f>+'Historical FS'!K27</f>
        <v>693</v>
      </c>
      <c r="G27" s="78">
        <f>+'Historical FS'!L27</f>
        <v>826</v>
      </c>
      <c r="H27" s="97">
        <f>IFERROR('FA Schedule'!H8,0)</f>
        <v>1341.21</v>
      </c>
      <c r="I27" s="97">
        <f>IFERROR('FA Schedule'!I8,0)</f>
        <v>1704.7610579999998</v>
      </c>
      <c r="J27" s="97">
        <f>IFERROR('FA Schedule'!J8,0)</f>
        <v>2103.6844510499996</v>
      </c>
      <c r="K27" s="97">
        <f>IFERROR('FA Schedule'!K8,0)</f>
        <v>2534.5205523592495</v>
      </c>
      <c r="L27" s="97">
        <f>IFERROR('FA Schedule'!L8,0)</f>
        <v>2999.0912536101555</v>
      </c>
    </row>
    <row r="28" spans="2:12" x14ac:dyDescent="0.25">
      <c r="B28" s="20" t="s">
        <v>68</v>
      </c>
      <c r="C28" s="80">
        <f>+'Historical FS'!H28</f>
        <v>1.3854647730823988E-2</v>
      </c>
      <c r="D28" s="80">
        <f>+'Historical FS'!I28</f>
        <v>1.0868761552680222E-2</v>
      </c>
      <c r="E28" s="80">
        <f>+'Historical FS'!J28</f>
        <v>1.1432150967034689E-2</v>
      </c>
      <c r="F28" s="80">
        <f>+'Historical FS'!K28</f>
        <v>1.146288209606987E-2</v>
      </c>
      <c r="G28" s="80">
        <f>+'Historical FS'!L28</f>
        <v>9.4309462915601015E-3</v>
      </c>
      <c r="H28" s="95">
        <f>IFERROR(H27/H6,0)</f>
        <v>1.2551978203968688E-2</v>
      </c>
      <c r="I28" s="95">
        <f t="shared" ref="I28:L28" si="10">IFERROR(I27/I6,0)</f>
        <v>1.3636190131790422E-2</v>
      </c>
      <c r="J28" s="95">
        <f t="shared" si="10"/>
        <v>1.4632289613992426E-2</v>
      </c>
      <c r="K28" s="95">
        <f t="shared" si="10"/>
        <v>1.5464029069529739E-2</v>
      </c>
      <c r="L28" s="95">
        <f t="shared" si="10"/>
        <v>1.6193401239797733E-2</v>
      </c>
    </row>
    <row r="29" spans="2:12" x14ac:dyDescent="0.25">
      <c r="C29" s="78"/>
      <c r="D29" s="78"/>
      <c r="E29" s="78"/>
      <c r="F29" s="78"/>
      <c r="G29" s="78"/>
    </row>
    <row r="30" spans="2:12" x14ac:dyDescent="0.25">
      <c r="B30" s="25" t="s">
        <v>69</v>
      </c>
      <c r="C30" s="85">
        <f>+'Historical FS'!H30</f>
        <v>2904</v>
      </c>
      <c r="D30" s="85">
        <f>+'Historical FS'!I30</f>
        <v>4447</v>
      </c>
      <c r="E30" s="85">
        <f>+'Historical FS'!J30</f>
        <v>4623</v>
      </c>
      <c r="F30" s="85">
        <f>+'Historical FS'!K30</f>
        <v>4535</v>
      </c>
      <c r="G30" s="85">
        <f>+'Historical FS'!L30</f>
        <v>6801</v>
      </c>
      <c r="H30" s="96">
        <f>IFERROR(H18-SUM(H21+H24+H27),0)</f>
        <v>6406.1752000000024</v>
      </c>
      <c r="I30" s="96">
        <f t="shared" ref="I30:L30" si="11">IFERROR(I18-SUM(I21+I24+I27),0)</f>
        <v>8618.1825539999845</v>
      </c>
      <c r="J30" s="96">
        <f t="shared" si="11"/>
        <v>10503.171840749985</v>
      </c>
      <c r="K30" s="96">
        <f t="shared" si="11"/>
        <v>11873.778888258752</v>
      </c>
      <c r="L30" s="96">
        <f t="shared" si="11"/>
        <v>14268.78721787129</v>
      </c>
    </row>
    <row r="31" spans="2:12" x14ac:dyDescent="0.25">
      <c r="B31" s="20" t="s">
        <v>70</v>
      </c>
      <c r="C31" s="80">
        <f>+'Historical FS'!H31</f>
        <v>0.10083683461231292</v>
      </c>
      <c r="D31" s="80">
        <f>+'Historical FS'!I31</f>
        <v>0.10959950708564387</v>
      </c>
      <c r="E31" s="80">
        <f>+'Historical FS'!J31</f>
        <v>9.0498003288700959E-2</v>
      </c>
      <c r="F31" s="80">
        <f>+'Historical FS'!K31</f>
        <v>7.5013232764324464E-2</v>
      </c>
      <c r="G31" s="80">
        <f>+'Historical FS'!L31</f>
        <v>7.7651169163317504E-2</v>
      </c>
      <c r="H31" s="95">
        <f>IFERROR(H30/H6,0)</f>
        <v>5.9953453583856946E-2</v>
      </c>
      <c r="I31" s="95">
        <f t="shared" ref="I31:L31" si="12">IFERROR(I30/I6,0)</f>
        <v>6.893586367739693E-2</v>
      </c>
      <c r="J31" s="95">
        <f t="shared" si="12"/>
        <v>7.3055372996969958E-2</v>
      </c>
      <c r="K31" s="95">
        <f t="shared" si="12"/>
        <v>7.244623119046445E-2</v>
      </c>
      <c r="L31" s="95">
        <f t="shared" si="12"/>
        <v>7.7043403179595932E-2</v>
      </c>
    </row>
    <row r="32" spans="2:12" x14ac:dyDescent="0.25">
      <c r="C32" s="78"/>
      <c r="D32" s="78"/>
      <c r="E32" s="78"/>
      <c r="F32" s="78"/>
      <c r="G32" s="78"/>
    </row>
    <row r="33" spans="2:17" x14ac:dyDescent="0.25">
      <c r="B33" t="s">
        <v>8</v>
      </c>
      <c r="C33" s="78">
        <f>+'Historical FS'!H33</f>
        <v>706</v>
      </c>
      <c r="D33" s="78">
        <f>+'Historical FS'!I33</f>
        <v>1173</v>
      </c>
      <c r="E33" s="78">
        <f>+'Historical FS'!J33</f>
        <v>1127</v>
      </c>
      <c r="F33" s="78">
        <f>+'Historical FS'!K33</f>
        <v>1198</v>
      </c>
      <c r="G33" s="78">
        <f>+'Historical FS'!L33</f>
        <v>1728</v>
      </c>
      <c r="H33" s="94">
        <f>+H30*H34</f>
        <v>1614.3561504000006</v>
      </c>
      <c r="I33" s="94">
        <f t="shared" ref="I33:L33" si="13">+I30*I34</f>
        <v>2171.7820036079961</v>
      </c>
      <c r="J33" s="94">
        <f t="shared" si="13"/>
        <v>2646.799303868996</v>
      </c>
      <c r="K33" s="94">
        <f t="shared" si="13"/>
        <v>2992.1922798412056</v>
      </c>
      <c r="L33" s="94">
        <f t="shared" si="13"/>
        <v>3595.7343789035649</v>
      </c>
    </row>
    <row r="34" spans="2:17" x14ac:dyDescent="0.25">
      <c r="B34" s="20" t="s">
        <v>71</v>
      </c>
      <c r="C34" s="80">
        <f>+'Historical FS'!H34</f>
        <v>0.24311294765840222</v>
      </c>
      <c r="D34" s="80">
        <f>+'Historical FS'!I34</f>
        <v>0.26377333033505734</v>
      </c>
      <c r="E34" s="80">
        <f>+'Historical FS'!J34</f>
        <v>0.24378109452736318</v>
      </c>
      <c r="F34" s="80">
        <f>+'Historical FS'!K34</f>
        <v>0.26416758544652702</v>
      </c>
      <c r="G34" s="80">
        <f>+'Historical FS'!L34</f>
        <v>0.25408028231142477</v>
      </c>
      <c r="H34" s="98">
        <f>IFERROR(Assumptions!C11,0)</f>
        <v>0.252</v>
      </c>
      <c r="I34" s="98">
        <f>IFERROR(Assumptions!D11,0)</f>
        <v>0.252</v>
      </c>
      <c r="J34" s="98">
        <f>IFERROR(Assumptions!E11,0)</f>
        <v>0.252</v>
      </c>
      <c r="K34" s="98">
        <f>IFERROR(Assumptions!F11,0)</f>
        <v>0.252</v>
      </c>
      <c r="L34" s="98">
        <f>IFERROR(Assumptions!G11,0)</f>
        <v>0.252</v>
      </c>
      <c r="M34" s="39">
        <f>H33/(H18-H27)</f>
        <v>0.19507625827966782</v>
      </c>
      <c r="N34" s="39">
        <f t="shared" ref="N34:Q34" si="14">I33/(I18-I27)</f>
        <v>0.20114718969917286</v>
      </c>
      <c r="O34" s="39">
        <f t="shared" si="14"/>
        <v>0.20372270047119642</v>
      </c>
      <c r="P34" s="39">
        <f t="shared" si="14"/>
        <v>0.20390073475803597</v>
      </c>
      <c r="Q34" s="39">
        <f t="shared" si="14"/>
        <v>0.2069677171740186</v>
      </c>
    </row>
    <row r="35" spans="2:17" x14ac:dyDescent="0.25">
      <c r="C35" s="78"/>
      <c r="D35" s="78"/>
      <c r="E35" s="78"/>
      <c r="F35" s="78"/>
      <c r="G35" s="78"/>
    </row>
    <row r="36" spans="2:17" x14ac:dyDescent="0.25">
      <c r="B36" s="25" t="s">
        <v>72</v>
      </c>
      <c r="C36" s="85">
        <f>+'Historical FS'!H36</f>
        <v>2198</v>
      </c>
      <c r="D36" s="85">
        <f>+'Historical FS'!I36</f>
        <v>3274</v>
      </c>
      <c r="E36" s="85">
        <f>+'Historical FS'!J36</f>
        <v>3496</v>
      </c>
      <c r="F36" s="85">
        <f>+'Historical FS'!K36</f>
        <v>3337</v>
      </c>
      <c r="G36" s="85">
        <f>+'Historical FS'!L36</f>
        <v>5073</v>
      </c>
      <c r="H36" s="96">
        <f>IFERROR(H30-H33,0)</f>
        <v>4791.8190496000016</v>
      </c>
      <c r="I36" s="96">
        <f t="shared" ref="I36:L36" si="15">IFERROR(I30-I33,0)</f>
        <v>6446.4005503919889</v>
      </c>
      <c r="J36" s="96">
        <f t="shared" si="15"/>
        <v>7856.3725368809883</v>
      </c>
      <c r="K36" s="96">
        <f t="shared" si="15"/>
        <v>8881.5866084175468</v>
      </c>
      <c r="L36" s="96">
        <f t="shared" si="15"/>
        <v>10673.052838967724</v>
      </c>
    </row>
    <row r="37" spans="2:17" x14ac:dyDescent="0.25">
      <c r="B37" s="20" t="s">
        <v>73</v>
      </c>
      <c r="C37" s="80">
        <f>+'Historical FS'!H37</f>
        <v>7.632209451717073E-2</v>
      </c>
      <c r="D37" s="80">
        <f>+'Historical FS'!I37</f>
        <v>8.0690080098582875E-2</v>
      </c>
      <c r="E37" s="80">
        <f>+'Historical FS'!J37</f>
        <v>6.8436300994440535E-2</v>
      </c>
      <c r="F37" s="80">
        <f>+'Historical FS'!K37</f>
        <v>5.5197168188434564E-2</v>
      </c>
      <c r="G37" s="80">
        <f>+'Historical FS'!L37</f>
        <v>5.792153818048959E-2</v>
      </c>
      <c r="H37" s="95">
        <f>IFERROR(H36/H6,0)</f>
        <v>4.4845183280724996E-2</v>
      </c>
      <c r="I37" s="95">
        <f t="shared" ref="I37:L37" si="16">IFERROR(I36/I6,0)</f>
        <v>5.1564026030692912E-2</v>
      </c>
      <c r="J37" s="95">
        <f t="shared" si="16"/>
        <v>5.4645419001733531E-2</v>
      </c>
      <c r="K37" s="95">
        <f t="shared" si="16"/>
        <v>5.4189780930467411E-2</v>
      </c>
      <c r="L37" s="95">
        <f t="shared" si="16"/>
        <v>5.7628465578337749E-2</v>
      </c>
    </row>
    <row r="38" spans="2:17" x14ac:dyDescent="0.25">
      <c r="C38" s="78"/>
      <c r="D38" s="78"/>
      <c r="E38" s="78"/>
      <c r="F38" s="78"/>
      <c r="G38" s="78"/>
    </row>
    <row r="39" spans="2:17" x14ac:dyDescent="0.25">
      <c r="B39" t="s">
        <v>74</v>
      </c>
      <c r="C39" s="81">
        <f>+'Historical FS'!H39</f>
        <v>88.78</v>
      </c>
      <c r="D39" s="81">
        <f>+'Historical FS'!I39</f>
        <v>88.78</v>
      </c>
      <c r="E39" s="81">
        <f>+'Historical FS'!J39</f>
        <v>88.78</v>
      </c>
      <c r="F39" s="81">
        <f>+'Historical FS'!K39</f>
        <v>88.78</v>
      </c>
      <c r="G39" s="81">
        <f>+'Historical FS'!L39</f>
        <v>88.78</v>
      </c>
      <c r="H39" s="77">
        <f>Assumptions!C32</f>
        <v>88.77861266874352</v>
      </c>
      <c r="I39" s="77">
        <f>Assumptions!D32</f>
        <v>88.77861266874352</v>
      </c>
      <c r="J39" s="77">
        <f>Assumptions!E32</f>
        <v>88.77861266874352</v>
      </c>
      <c r="K39" s="77">
        <f>Assumptions!F32</f>
        <v>88.77861266874352</v>
      </c>
      <c r="L39" s="77">
        <f>Assumptions!G32</f>
        <v>88.77861266874352</v>
      </c>
    </row>
    <row r="40" spans="2:17" x14ac:dyDescent="0.25">
      <c r="C40" s="78"/>
      <c r="D40" s="78"/>
      <c r="E40" s="78"/>
      <c r="F40" s="78"/>
      <c r="G40" s="78"/>
    </row>
    <row r="41" spans="2:17" x14ac:dyDescent="0.25">
      <c r="B41" t="s">
        <v>75</v>
      </c>
      <c r="C41" s="78">
        <f>+'Historical FS'!H41</f>
        <v>24.757828339716152</v>
      </c>
      <c r="D41" s="78">
        <f>+'Historical FS'!I41</f>
        <v>36.877675152061272</v>
      </c>
      <c r="E41" s="78">
        <f>+'Historical FS'!J41</f>
        <v>39.37823834196891</v>
      </c>
      <c r="F41" s="78">
        <f>+'Historical FS'!K41</f>
        <v>37.58729443568371</v>
      </c>
      <c r="G41" s="78">
        <f>+'Historical FS'!L41</f>
        <v>57.141248028835321</v>
      </c>
      <c r="H41" s="94">
        <f>IFERROR(H36/H39,0)</f>
        <v>53.974926004752355</v>
      </c>
      <c r="I41" s="94">
        <f t="shared" ref="I41:L41" si="17">IFERROR(I36/I39,0)</f>
        <v>72.61208929278061</v>
      </c>
      <c r="J41" s="94">
        <f t="shared" si="17"/>
        <v>88.493977329823707</v>
      </c>
      <c r="K41" s="94">
        <f t="shared" si="17"/>
        <v>100.0419621509191</v>
      </c>
      <c r="L41" s="94">
        <f t="shared" si="17"/>
        <v>120.22099149928943</v>
      </c>
    </row>
    <row r="42" spans="2:17" x14ac:dyDescent="0.25">
      <c r="B42" s="20" t="s">
        <v>76</v>
      </c>
      <c r="C42" s="80"/>
      <c r="D42" s="80">
        <f>+'Historical FS'!I42</f>
        <v>0.48953594176524096</v>
      </c>
      <c r="E42" s="80">
        <f>+'Historical FS'!J42</f>
        <v>6.7806963958460642E-2</v>
      </c>
      <c r="F42" s="80">
        <f>+'Historical FS'!K42</f>
        <v>-4.548054919908473E-2</v>
      </c>
      <c r="G42" s="80">
        <f>+'Historical FS'!L42</f>
        <v>0.52022774947557693</v>
      </c>
      <c r="H42" s="95">
        <f>IFERROR((H41/G41)-1,0)</f>
        <v>-5.5412195800923714E-2</v>
      </c>
      <c r="I42" s="95">
        <f t="shared" ref="I42:L42" si="18">IFERROR((I41/H41)-1,0)</f>
        <v>0.34529298449408352</v>
      </c>
      <c r="J42" s="95">
        <f t="shared" si="18"/>
        <v>0.21872236691889468</v>
      </c>
      <c r="K42" s="95">
        <f t="shared" si="18"/>
        <v>0.13049458471117403</v>
      </c>
      <c r="L42" s="95">
        <f t="shared" si="18"/>
        <v>0.20170565345298885</v>
      </c>
    </row>
    <row r="43" spans="2:17" x14ac:dyDescent="0.25">
      <c r="C43" s="78"/>
      <c r="D43" s="78"/>
      <c r="E43" s="78"/>
      <c r="F43" s="78"/>
      <c r="G43" s="78"/>
    </row>
    <row r="44" spans="2:17" x14ac:dyDescent="0.25">
      <c r="B44" t="s">
        <v>77</v>
      </c>
      <c r="C44" s="78">
        <f>+'Historical FS'!H44</f>
        <v>7.5185852669520159</v>
      </c>
      <c r="D44" s="78">
        <f>+'Historical FS'!I44</f>
        <v>10.024780355936022</v>
      </c>
      <c r="E44" s="78">
        <f>+'Historical FS'!J44</f>
        <v>11.027258391529625</v>
      </c>
      <c r="F44" s="78">
        <f>+'Historical FS'!K44</f>
        <v>11.027258391529625</v>
      </c>
      <c r="G44" s="78">
        <f>+'Historical FS'!L44</f>
        <v>15.037170533904032</v>
      </c>
      <c r="H44" s="94">
        <f>IFERROR(H45*H41,0)</f>
        <v>15.112979281330661</v>
      </c>
      <c r="I44" s="94">
        <f t="shared" ref="I44:L44" si="19">IFERROR(I45*I41,0)</f>
        <v>20.331385001978571</v>
      </c>
      <c r="J44" s="94">
        <f t="shared" si="19"/>
        <v>24.77831365235064</v>
      </c>
      <c r="K44" s="94">
        <f t="shared" si="19"/>
        <v>28.011749402257351</v>
      </c>
      <c r="L44" s="94">
        <f t="shared" si="19"/>
        <v>33.661877619801039</v>
      </c>
    </row>
    <row r="45" spans="2:17" x14ac:dyDescent="0.25">
      <c r="B45" s="20" t="s">
        <v>78</v>
      </c>
      <c r="C45" s="80">
        <f>+'Historical FS'!H45</f>
        <v>0.30368516833484988</v>
      </c>
      <c r="D45" s="80">
        <f>+'Historical FS'!I45</f>
        <v>0.27183872938301773</v>
      </c>
      <c r="E45" s="80">
        <f>+'Historical FS'!J45</f>
        <v>0.28003432494279179</v>
      </c>
      <c r="F45" s="80">
        <f>+'Historical FS'!K45</f>
        <v>0.29337728498651489</v>
      </c>
      <c r="G45" s="80">
        <f>+'Historical FS'!L45</f>
        <v>0.26315789473684209</v>
      </c>
      <c r="H45" s="98">
        <f>IFERROR(Assumptions!C12,0)</f>
        <v>0.28000000000000003</v>
      </c>
      <c r="I45" s="98">
        <f>IFERROR(Assumptions!D12,0)</f>
        <v>0.28000000000000003</v>
      </c>
      <c r="J45" s="98">
        <f>IFERROR(Assumptions!E12,0)</f>
        <v>0.28000000000000003</v>
      </c>
      <c r="K45" s="98">
        <f>IFERROR(Assumptions!F12,0)</f>
        <v>0.28000000000000003</v>
      </c>
      <c r="L45" s="98">
        <f>IFERROR(Assumptions!G12,0)</f>
        <v>0.28000000000000003</v>
      </c>
    </row>
    <row r="46" spans="2:17" x14ac:dyDescent="0.25">
      <c r="C46" s="78"/>
      <c r="D46" s="78"/>
      <c r="E46" s="78"/>
      <c r="F46" s="78"/>
      <c r="G46" s="78"/>
    </row>
    <row r="47" spans="2:17" x14ac:dyDescent="0.25">
      <c r="B47" t="s">
        <v>79</v>
      </c>
      <c r="C47" s="82">
        <f>+'Historical FS'!H47</f>
        <v>0.69631483166515018</v>
      </c>
      <c r="D47" s="82">
        <f>+'Historical FS'!I47</f>
        <v>0.72816127061698221</v>
      </c>
      <c r="E47" s="82">
        <f>+'Historical FS'!J47</f>
        <v>0.71996567505720821</v>
      </c>
      <c r="F47" s="82">
        <f>+'Historical FS'!K47</f>
        <v>0.70662271501348517</v>
      </c>
      <c r="G47" s="82">
        <f>+'Historical FS'!L47</f>
        <v>0.73684210526315796</v>
      </c>
      <c r="H47" s="99">
        <f>IFERROR(IF(H41&gt;H44,1-H45,0),0)</f>
        <v>0.72</v>
      </c>
      <c r="I47" s="99">
        <f t="shared" ref="I47:L47" si="20">IFERROR(IF(I41&gt;I44,1-I45,0),0)</f>
        <v>0.72</v>
      </c>
      <c r="J47" s="99">
        <f t="shared" si="20"/>
        <v>0.72</v>
      </c>
      <c r="K47" s="99">
        <f t="shared" si="20"/>
        <v>0.72</v>
      </c>
      <c r="L47" s="99">
        <f t="shared" si="20"/>
        <v>0.72</v>
      </c>
      <c r="M47" s="76"/>
      <c r="N47" s="76"/>
    </row>
    <row r="48" spans="2:17" x14ac:dyDescent="0.25">
      <c r="C48" s="78"/>
      <c r="D48" s="78"/>
      <c r="E48" s="78"/>
      <c r="F48" s="78"/>
      <c r="G48" s="78"/>
    </row>
    <row r="49" spans="1:13" x14ac:dyDescent="0.25">
      <c r="A49" s="15" t="s">
        <v>81</v>
      </c>
      <c r="B49" s="13" t="s">
        <v>82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3" x14ac:dyDescent="0.25">
      <c r="B50" s="21" t="s">
        <v>11</v>
      </c>
      <c r="C50" s="78">
        <f>+'Historical FS'!H50</f>
        <v>89</v>
      </c>
      <c r="D50" s="78">
        <f>+'Historical FS'!I50</f>
        <v>89</v>
      </c>
      <c r="E50" s="78">
        <f>+'Historical FS'!J50</f>
        <v>89</v>
      </c>
      <c r="F50" s="78">
        <f>+'Historical FS'!K50</f>
        <v>89</v>
      </c>
      <c r="G50" s="78">
        <f>+'Historical FS'!L50</f>
        <v>89</v>
      </c>
      <c r="H50" s="94">
        <f>IFERROR(Assumptions!C31,0)</f>
        <v>89</v>
      </c>
      <c r="I50" s="94">
        <f>IFERROR(Assumptions!D31,0)</f>
        <v>89</v>
      </c>
      <c r="J50" s="94">
        <f>IFERROR(Assumptions!E31,0)</f>
        <v>89</v>
      </c>
      <c r="K50" s="94">
        <f>IFERROR(Assumptions!F31,0)</f>
        <v>89</v>
      </c>
      <c r="L50" s="94">
        <f>IFERROR(Assumptions!G31,0)</f>
        <v>89</v>
      </c>
      <c r="M50" s="83" t="s">
        <v>216</v>
      </c>
    </row>
    <row r="51" spans="1:13" x14ac:dyDescent="0.25">
      <c r="B51" s="21" t="s">
        <v>12</v>
      </c>
      <c r="C51" s="78">
        <f>+'Historical FS'!H51</f>
        <v>9214</v>
      </c>
      <c r="D51" s="78">
        <f>+'Historical FS'!I51</f>
        <v>11762</v>
      </c>
      <c r="E51" s="78">
        <f>+'Historical FS'!J51</f>
        <v>9304</v>
      </c>
      <c r="F51" s="78">
        <f>+'Historical FS'!K51</f>
        <v>11535</v>
      </c>
      <c r="G51" s="78">
        <f>+'Historical FS'!L51</f>
        <v>15614</v>
      </c>
      <c r="H51" s="94">
        <f>IFERROR(G51+H36-(H44*H39),0)</f>
        <v>19064.109715712002</v>
      </c>
      <c r="I51" s="94">
        <f t="shared" ref="I51:K51" si="21">IFERROR(H51+I36-(I44*I39),0)</f>
        <v>23705.518111994235</v>
      </c>
      <c r="J51" s="94">
        <f t="shared" si="21"/>
        <v>29362.106338548547</v>
      </c>
      <c r="K51" s="94">
        <f t="shared" si="21"/>
        <v>35756.848696609188</v>
      </c>
      <c r="L51" s="94">
        <f>IFERROR(K51+L36-(L44*L39),0)</f>
        <v>43441.446740665946</v>
      </c>
    </row>
    <row r="52" spans="1:13" x14ac:dyDescent="0.25">
      <c r="B52" s="21" t="s">
        <v>37</v>
      </c>
      <c r="C52" s="78">
        <f>+'Historical FS'!H52</f>
        <v>7275</v>
      </c>
      <c r="D52" s="78">
        <f>+'Historical FS'!I52</f>
        <v>9367</v>
      </c>
      <c r="E52" s="78">
        <f>+'Historical FS'!J52</f>
        <v>15528</v>
      </c>
      <c r="F52" s="78">
        <f>+'Historical FS'!K52</f>
        <v>20777</v>
      </c>
      <c r="G52" s="78">
        <f>+'Historical FS'!L52</f>
        <v>30621</v>
      </c>
      <c r="H52" s="97">
        <f>IFERROR('Debt Schedule'!H8,0)</f>
        <v>36132.78</v>
      </c>
      <c r="I52" s="97">
        <f>IFERROR('Debt Schedule'!I8,0)</f>
        <v>41552.696999999993</v>
      </c>
      <c r="J52" s="97">
        <f>IFERROR('Debt Schedule'!J8,0)</f>
        <v>46954.547609999987</v>
      </c>
      <c r="K52" s="97">
        <f>IFERROR('Debt Schedule'!K8,0)</f>
        <v>52119.547847099988</v>
      </c>
      <c r="L52" s="97">
        <f>IFERROR('Debt Schedule'!L8,0)</f>
        <v>56810.307153338988</v>
      </c>
    </row>
    <row r="53" spans="1:13" x14ac:dyDescent="0.25">
      <c r="B53" s="2" t="s">
        <v>233</v>
      </c>
      <c r="C53" s="78"/>
      <c r="D53" s="78"/>
      <c r="E53" s="78"/>
      <c r="F53" s="78"/>
      <c r="G53" s="78"/>
      <c r="H53" s="94"/>
      <c r="I53" s="94"/>
      <c r="J53" s="94"/>
      <c r="K53" s="94"/>
      <c r="L53" s="94"/>
    </row>
    <row r="54" spans="1:13" x14ac:dyDescent="0.25">
      <c r="B54" s="106" t="s">
        <v>238</v>
      </c>
      <c r="C54" s="78">
        <f>IFERROR('Historical FS'!H54,0)</f>
        <v>30</v>
      </c>
      <c r="D54" s="78">
        <f>IFERROR('Historical FS'!I54,0)</f>
        <v>53</v>
      </c>
      <c r="E54" s="78">
        <f>IFERROR('Historical FS'!J54,0)</f>
        <v>0</v>
      </c>
      <c r="F54" s="78">
        <f>IFERROR('Historical FS'!K54,0)</f>
        <v>0</v>
      </c>
      <c r="G54" s="78">
        <f>IFERROR('Historical FS'!L54,0)</f>
        <v>0</v>
      </c>
      <c r="H54" s="94">
        <f>+G54</f>
        <v>0</v>
      </c>
      <c r="I54" s="94">
        <f t="shared" ref="I54:L54" si="22">+H54</f>
        <v>0</v>
      </c>
      <c r="J54" s="94">
        <f t="shared" si="22"/>
        <v>0</v>
      </c>
      <c r="K54" s="94">
        <f t="shared" si="22"/>
        <v>0</v>
      </c>
      <c r="L54" s="94">
        <f t="shared" si="22"/>
        <v>0</v>
      </c>
      <c r="M54" s="83" t="s">
        <v>216</v>
      </c>
    </row>
    <row r="55" spans="1:13" x14ac:dyDescent="0.25">
      <c r="B55" s="106" t="s">
        <v>239</v>
      </c>
      <c r="C55" s="78">
        <f>IFERROR('Historical FS'!H55,0)</f>
        <v>1294</v>
      </c>
      <c r="D55" s="78">
        <f>IFERROR('Historical FS'!I55,0)</f>
        <v>1214</v>
      </c>
      <c r="E55" s="78">
        <f>IFERROR('Historical FS'!J55,0)</f>
        <v>1410</v>
      </c>
      <c r="F55" s="78">
        <f>IFERROR('Historical FS'!K55,0)</f>
        <v>1963</v>
      </c>
      <c r="G55" s="78">
        <f>IFERROR('Historical FS'!L55,0)</f>
        <v>2864</v>
      </c>
      <c r="H55" s="97">
        <f>IFERROR('WC Schedule'!H12,0)</f>
        <v>3600.7822027397256</v>
      </c>
      <c r="I55" s="97">
        <f>IFERROR('WC Schedule'!I12,0)</f>
        <v>4161.5381628493151</v>
      </c>
      <c r="J55" s="97">
        <f>IFERROR('WC Schedule'!J12,0)</f>
        <v>4756.2271040219166</v>
      </c>
      <c r="K55" s="97">
        <f>IFERROR('WC Schedule'!K12,0)</f>
        <v>5422.0988985849845</v>
      </c>
      <c r="L55" s="97">
        <f>IFERROR('WC Schedule'!L12,0)</f>
        <v>6088.9160302122073</v>
      </c>
    </row>
    <row r="56" spans="1:13" x14ac:dyDescent="0.25">
      <c r="B56" s="106" t="s">
        <v>240</v>
      </c>
      <c r="C56" s="78">
        <f>IFERROR('Historical FS'!H56,0)</f>
        <v>532</v>
      </c>
      <c r="D56" s="78">
        <f>IFERROR('Historical FS'!I56,0)</f>
        <v>718</v>
      </c>
      <c r="E56" s="78">
        <f>IFERROR('Historical FS'!J56,0)</f>
        <v>1085</v>
      </c>
      <c r="F56" s="78">
        <f>IFERROR('Historical FS'!K56,0)</f>
        <v>2140</v>
      </c>
      <c r="G56" s="78">
        <f>IFERROR('Historical FS'!L56,0)</f>
        <v>4745</v>
      </c>
      <c r="H56" s="97">
        <f>IFERROR('WC Schedule'!H13,0)</f>
        <v>4274.0991999999997</v>
      </c>
      <c r="I56" s="97">
        <f>IFERROR('WC Schedule'!I13,0)</f>
        <v>5000.6960639999998</v>
      </c>
      <c r="J56" s="97">
        <f>IFERROR('WC Schedule'!J13,0)</f>
        <v>5750.8004735999984</v>
      </c>
      <c r="K56" s="97">
        <f>IFERROR('WC Schedule'!K13,0)</f>
        <v>6555.9125399039985</v>
      </c>
      <c r="L56" s="97">
        <f>IFERROR('WC Schedule'!L13,0)</f>
        <v>7408.1811700915187</v>
      </c>
    </row>
    <row r="57" spans="1:13" x14ac:dyDescent="0.25">
      <c r="B57" s="106" t="s">
        <v>241</v>
      </c>
      <c r="C57" s="78">
        <f>IFERROR('Historical FS'!H57,0)</f>
        <v>2754</v>
      </c>
      <c r="D57" s="78">
        <f>IFERROR('Historical FS'!I57,0)</f>
        <v>3817</v>
      </c>
      <c r="E57" s="78">
        <f>IFERROR('Historical FS'!J57,0)</f>
        <v>4131</v>
      </c>
      <c r="F57" s="78">
        <f>IFERROR('Historical FS'!K57,0)</f>
        <v>4141</v>
      </c>
      <c r="G57" s="78">
        <f>IFERROR('Historical FS'!L57,0)</f>
        <v>6628</v>
      </c>
      <c r="H57" s="97">
        <f>IFERROR('WC Schedule'!H14,0)</f>
        <v>8548.1983999999993</v>
      </c>
      <c r="I57" s="97">
        <f>IFERROR('WC Schedule'!I14,0)</f>
        <v>10001.392128</v>
      </c>
      <c r="J57" s="97">
        <f>IFERROR('WC Schedule'!J14,0)</f>
        <v>11501.600947199997</v>
      </c>
      <c r="K57" s="97">
        <f>IFERROR('WC Schedule'!K14,0)</f>
        <v>13111.825079807997</v>
      </c>
      <c r="L57" s="97">
        <f>IFERROR('WC Schedule'!L14,0)</f>
        <v>14816.362340183037</v>
      </c>
    </row>
    <row r="58" spans="1:13" x14ac:dyDescent="0.25">
      <c r="B58" s="86" t="s">
        <v>83</v>
      </c>
      <c r="C58" s="100">
        <f t="shared" ref="C58:L58" si="23">IFERROR(SUM(C50:C57),0)</f>
        <v>21188</v>
      </c>
      <c r="D58" s="100">
        <f t="shared" si="23"/>
        <v>27020</v>
      </c>
      <c r="E58" s="100">
        <f t="shared" si="23"/>
        <v>31547</v>
      </c>
      <c r="F58" s="100">
        <f t="shared" si="23"/>
        <v>40645</v>
      </c>
      <c r="G58" s="100">
        <f t="shared" si="23"/>
        <v>60561</v>
      </c>
      <c r="H58" s="100">
        <f t="shared" si="23"/>
        <v>71708.969518451719</v>
      </c>
      <c r="I58" s="100">
        <f t="shared" si="23"/>
        <v>84510.841466843558</v>
      </c>
      <c r="J58" s="100">
        <f t="shared" si="23"/>
        <v>98414.282473370462</v>
      </c>
      <c r="K58" s="100">
        <f t="shared" si="23"/>
        <v>113055.23306200617</v>
      </c>
      <c r="L58" s="100">
        <f t="shared" si="23"/>
        <v>128654.2134344917</v>
      </c>
    </row>
    <row r="59" spans="1:13" x14ac:dyDescent="0.25">
      <c r="B59" s="22"/>
      <c r="C59" s="78"/>
      <c r="D59" s="78"/>
      <c r="E59" s="78"/>
      <c r="F59" s="78"/>
      <c r="G59" s="78"/>
    </row>
    <row r="60" spans="1:13" x14ac:dyDescent="0.25">
      <c r="B60" s="21" t="s">
        <v>84</v>
      </c>
      <c r="C60" s="78">
        <f>+'Historical FS'!H60</f>
        <v>2544</v>
      </c>
      <c r="D60" s="78">
        <f>+'Historical FS'!I60</f>
        <v>2998</v>
      </c>
      <c r="E60" s="78">
        <f>+'Historical FS'!J60</f>
        <v>3709</v>
      </c>
      <c r="F60" s="78">
        <f>+'Historical FS'!K60</f>
        <v>4062</v>
      </c>
      <c r="G60" s="78">
        <f>+'Historical FS'!L60</f>
        <v>6878</v>
      </c>
      <c r="H60" s="97">
        <f>IFERROR('FA Schedule'!H9,0)</f>
        <v>8742.3643999999986</v>
      </c>
      <c r="I60" s="97">
        <f>IFERROR('FA Schedule'!I9,0)</f>
        <v>10788.125389999997</v>
      </c>
      <c r="J60" s="97">
        <f>IFERROR('FA Schedule'!J9,0)</f>
        <v>12997.541294149996</v>
      </c>
      <c r="K60" s="97">
        <f>IFERROR('FA Schedule'!K9,0)</f>
        <v>15379.955146718745</v>
      </c>
      <c r="L60" s="97">
        <f>IFERROR('FA Schedule'!L9,0)</f>
        <v>17936.999770677226</v>
      </c>
    </row>
    <row r="61" spans="1:13" x14ac:dyDescent="0.25">
      <c r="B61" s="21" t="s">
        <v>15</v>
      </c>
      <c r="C61" s="78">
        <f>+'Historical FS'!H61</f>
        <v>85</v>
      </c>
      <c r="D61" s="78">
        <f>+'Historical FS'!I61</f>
        <v>144</v>
      </c>
      <c r="E61" s="78">
        <f>+'Historical FS'!J61</f>
        <v>97</v>
      </c>
      <c r="F61" s="78">
        <f>+'Historical FS'!K61</f>
        <v>105</v>
      </c>
      <c r="G61" s="78">
        <f>+'Historical FS'!L61</f>
        <v>163</v>
      </c>
      <c r="H61" s="97">
        <f>IFERROR(Assumptions!C18,0)</f>
        <v>163</v>
      </c>
      <c r="I61" s="97">
        <f>IFERROR(Assumptions!D18,0)</f>
        <v>163</v>
      </c>
      <c r="J61" s="97">
        <f>IFERROR(Assumptions!E18,0)</f>
        <v>163</v>
      </c>
      <c r="K61" s="97">
        <f>IFERROR(Assumptions!F18,0)</f>
        <v>163</v>
      </c>
      <c r="L61" s="97">
        <f>IFERROR(Assumptions!G18,0)</f>
        <v>163</v>
      </c>
    </row>
    <row r="62" spans="1:13" x14ac:dyDescent="0.25">
      <c r="B62" s="21" t="s">
        <v>16</v>
      </c>
      <c r="C62" s="78">
        <f>+'Historical FS'!H62</f>
        <v>294</v>
      </c>
      <c r="D62" s="78">
        <f>+'Historical FS'!I62</f>
        <v>2515</v>
      </c>
      <c r="E62" s="78">
        <f>+'Historical FS'!J62</f>
        <v>2345</v>
      </c>
      <c r="F62" s="78">
        <f>+'Historical FS'!K62</f>
        <v>1988</v>
      </c>
      <c r="G62" s="78">
        <f>+'Historical FS'!L62</f>
        <v>3506</v>
      </c>
      <c r="H62" s="97">
        <f>IFERROR(Assumptions!C17,0)</f>
        <v>3506</v>
      </c>
      <c r="I62" s="97">
        <f>IFERROR(Assumptions!D17,0)</f>
        <v>3506</v>
      </c>
      <c r="J62" s="97">
        <f>IFERROR(Assumptions!E17,0)</f>
        <v>3506</v>
      </c>
      <c r="K62" s="97">
        <f>IFERROR(Assumptions!F17,0)</f>
        <v>3506</v>
      </c>
      <c r="L62" s="97">
        <f>IFERROR(Assumptions!G17,0)</f>
        <v>3506</v>
      </c>
    </row>
    <row r="63" spans="1:13" x14ac:dyDescent="0.25">
      <c r="B63" s="21" t="s">
        <v>39</v>
      </c>
      <c r="C63" s="78">
        <f>+'Historical FS'!H63</f>
        <v>2518</v>
      </c>
      <c r="D63" s="78">
        <f>+'Historical FS'!I63</f>
        <v>2762</v>
      </c>
      <c r="E63" s="78">
        <f>+'Historical FS'!J63</f>
        <v>3801</v>
      </c>
      <c r="F63" s="78">
        <f>+'Historical FS'!K63</f>
        <v>3654</v>
      </c>
      <c r="G63" s="78">
        <f>+'Historical FS'!L63</f>
        <v>4438</v>
      </c>
      <c r="H63" s="97">
        <f>IFERROR('WC Schedule'!H8,0)</f>
        <v>5342.6239999999998</v>
      </c>
      <c r="I63" s="97">
        <f>IFERROR('WC Schedule'!I8,0)</f>
        <v>6250.8700799999997</v>
      </c>
      <c r="J63" s="97">
        <f>IFERROR('WC Schedule'!J8,0)</f>
        <v>7188.5005919999985</v>
      </c>
      <c r="K63" s="97">
        <f>IFERROR('WC Schedule'!K8,0)</f>
        <v>8194.8906748799982</v>
      </c>
      <c r="L63" s="97">
        <f>IFERROR('WC Schedule'!L8,0)</f>
        <v>9260.2264626143988</v>
      </c>
    </row>
    <row r="64" spans="1:13" x14ac:dyDescent="0.25">
      <c r="B64" s="86" t="s">
        <v>85</v>
      </c>
      <c r="C64" s="100">
        <f t="shared" ref="C64:G64" si="24">IFERROR(SUM(C60:C63),0)</f>
        <v>5441</v>
      </c>
      <c r="D64" s="100">
        <f t="shared" si="24"/>
        <v>8419</v>
      </c>
      <c r="E64" s="100">
        <f t="shared" si="24"/>
        <v>9952</v>
      </c>
      <c r="F64" s="100">
        <f t="shared" si="24"/>
        <v>9809</v>
      </c>
      <c r="G64" s="100">
        <f t="shared" si="24"/>
        <v>14985</v>
      </c>
      <c r="H64" s="100">
        <f>IFERROR(SUM(H60:H63),0)</f>
        <v>17753.988399999998</v>
      </c>
      <c r="I64" s="100">
        <f t="shared" ref="I64:L64" si="25">IFERROR(SUM(I60:I63),0)</f>
        <v>20707.995469999998</v>
      </c>
      <c r="J64" s="100">
        <f t="shared" si="25"/>
        <v>23855.041886149993</v>
      </c>
      <c r="K64" s="100">
        <f t="shared" si="25"/>
        <v>27243.845821598741</v>
      </c>
      <c r="L64" s="100">
        <f t="shared" si="25"/>
        <v>30866.226233291625</v>
      </c>
    </row>
    <row r="65" spans="1:12" x14ac:dyDescent="0.25">
      <c r="C65" s="78"/>
      <c r="D65" s="78"/>
      <c r="E65" s="78"/>
      <c r="F65" s="78"/>
      <c r="G65" s="78"/>
    </row>
    <row r="66" spans="1:12" x14ac:dyDescent="0.25">
      <c r="B66" s="21" t="s">
        <v>44</v>
      </c>
      <c r="C66" s="78">
        <f>+'Historical FS'!H66</f>
        <v>565</v>
      </c>
      <c r="D66" s="78">
        <f>+'Historical FS'!I66</f>
        <v>674</v>
      </c>
      <c r="E66" s="78">
        <f>+'Historical FS'!J66</f>
        <v>1018</v>
      </c>
      <c r="F66" s="78">
        <f>+'Historical FS'!K66</f>
        <v>1068</v>
      </c>
      <c r="G66" s="78">
        <f>+'Historical FS'!L66</f>
        <v>916</v>
      </c>
      <c r="H66" s="97">
        <f>IFERROR('WC Schedule'!H6,0)</f>
        <v>1756.479123287671</v>
      </c>
      <c r="I66" s="97">
        <f>IFERROR('WC Schedule'!I6,0)</f>
        <v>2055.080574246575</v>
      </c>
      <c r="J66" s="97">
        <f>IFERROR('WC Schedule'!J6,0)</f>
        <v>2363.342660383561</v>
      </c>
      <c r="K66" s="97">
        <f>IFERROR('WC Schedule'!K6,0)</f>
        <v>2694.2106328372597</v>
      </c>
      <c r="L66" s="97">
        <f>IFERROR('WC Schedule'!L6,0)</f>
        <v>3044.4580151061032</v>
      </c>
    </row>
    <row r="67" spans="1:12" x14ac:dyDescent="0.25">
      <c r="B67" s="21" t="s">
        <v>30</v>
      </c>
      <c r="C67" s="78">
        <f>+'Historical FS'!H67</f>
        <v>13609</v>
      </c>
      <c r="D67" s="78">
        <f>+'Historical FS'!I67</f>
        <v>16584</v>
      </c>
      <c r="E67" s="78">
        <f>+'Historical FS'!J67</f>
        <v>19051</v>
      </c>
      <c r="F67" s="78">
        <f>+'Historical FS'!K67</f>
        <v>28184</v>
      </c>
      <c r="G67" s="78">
        <f>+'Historical FS'!L67</f>
        <v>42743</v>
      </c>
      <c r="H67" s="97">
        <f>IFERROR('WC Schedule'!H7,0)</f>
        <v>46810.168635616435</v>
      </c>
      <c r="I67" s="97">
        <f>IFERROR('WC Schedule'!I7,0)</f>
        <v>54099.996117041097</v>
      </c>
      <c r="J67" s="97">
        <f>IFERROR('WC Schedule'!J7,0)</f>
        <v>61830.952352284927</v>
      </c>
      <c r="K67" s="97">
        <f>IFERROR('WC Schedule'!K7,0)</f>
        <v>70487.285681604815</v>
      </c>
      <c r="L67" s="97">
        <f>IFERROR('WC Schedule'!L7,0)</f>
        <v>79155.908392758705</v>
      </c>
    </row>
    <row r="68" spans="1:12" x14ac:dyDescent="0.25">
      <c r="B68" s="23" t="s">
        <v>53</v>
      </c>
      <c r="C68" s="78">
        <f>+'Historical FS'!H68</f>
        <v>1573</v>
      </c>
      <c r="D68" s="78">
        <f>+'Historical FS'!I68</f>
        <v>1343</v>
      </c>
      <c r="E68" s="78">
        <f>+'Historical FS'!J68</f>
        <v>1526</v>
      </c>
      <c r="F68" s="78">
        <f>+'Historical FS'!K68</f>
        <v>1584</v>
      </c>
      <c r="G68" s="78">
        <f>+'Historical FS'!L68</f>
        <v>1917</v>
      </c>
      <c r="H68" s="94">
        <f>H101</f>
        <v>5388.3333595476179</v>
      </c>
      <c r="I68" s="94">
        <f t="shared" ref="I68:L68" si="26">I101</f>
        <v>7647.7693055558693</v>
      </c>
      <c r="J68" s="94">
        <f t="shared" si="26"/>
        <v>10364.945574551959</v>
      </c>
      <c r="K68" s="94">
        <f t="shared" si="26"/>
        <v>12629.890925965325</v>
      </c>
      <c r="L68" s="94">
        <f t="shared" si="26"/>
        <v>15587.620793335253</v>
      </c>
    </row>
    <row r="69" spans="1:12" x14ac:dyDescent="0.25">
      <c r="B69" s="86" t="s">
        <v>86</v>
      </c>
      <c r="C69" s="100">
        <f>IFERROR(SUM(C66:C68),0)</f>
        <v>15747</v>
      </c>
      <c r="D69" s="100">
        <f t="shared" ref="D69:G69" si="27">IFERROR(SUM(D66:D68),0)</f>
        <v>18601</v>
      </c>
      <c r="E69" s="100">
        <f t="shared" si="27"/>
        <v>21595</v>
      </c>
      <c r="F69" s="100">
        <f t="shared" si="27"/>
        <v>30836</v>
      </c>
      <c r="G69" s="100">
        <f t="shared" si="27"/>
        <v>45576</v>
      </c>
      <c r="H69" s="100">
        <f>IFERROR(SUM(H66:H68),0)</f>
        <v>53954.981118451731</v>
      </c>
      <c r="I69" s="100">
        <f t="shared" ref="I69:L69" si="28">IFERROR(SUM(I66:I68),0)</f>
        <v>63802.845996843542</v>
      </c>
      <c r="J69" s="100">
        <f t="shared" si="28"/>
        <v>74559.24058722044</v>
      </c>
      <c r="K69" s="100">
        <f t="shared" si="28"/>
        <v>85811.387240407406</v>
      </c>
      <c r="L69" s="100">
        <f t="shared" si="28"/>
        <v>97787.987201200071</v>
      </c>
    </row>
    <row r="70" spans="1:12" x14ac:dyDescent="0.25">
      <c r="C70" s="93"/>
      <c r="D70" s="93"/>
      <c r="E70" s="93"/>
      <c r="F70" s="93"/>
      <c r="G70" s="93"/>
      <c r="H70" s="2"/>
      <c r="I70" s="2"/>
      <c r="J70" s="2"/>
      <c r="K70" s="2"/>
      <c r="L70" s="2"/>
    </row>
    <row r="71" spans="1:12" ht="15.75" thickBot="1" x14ac:dyDescent="0.3">
      <c r="B71" s="87" t="s">
        <v>87</v>
      </c>
      <c r="C71" s="101">
        <f t="shared" ref="C71:G71" si="29">IFERROR(C69+C64,0)</f>
        <v>21188</v>
      </c>
      <c r="D71" s="101">
        <f t="shared" si="29"/>
        <v>27020</v>
      </c>
      <c r="E71" s="101">
        <f t="shared" si="29"/>
        <v>31547</v>
      </c>
      <c r="F71" s="101">
        <f t="shared" si="29"/>
        <v>40645</v>
      </c>
      <c r="G71" s="101">
        <f t="shared" si="29"/>
        <v>60561</v>
      </c>
      <c r="H71" s="101">
        <f>IFERROR(H69+H64,0)</f>
        <v>71708.969518451733</v>
      </c>
      <c r="I71" s="101">
        <f t="shared" ref="I71:L71" si="30">IFERROR(I69+I64,0)</f>
        <v>84510.841466843543</v>
      </c>
      <c r="J71" s="101">
        <f t="shared" si="30"/>
        <v>98414.282473370433</v>
      </c>
      <c r="K71" s="101">
        <f t="shared" si="30"/>
        <v>113055.23306200615</v>
      </c>
      <c r="L71" s="101">
        <f t="shared" si="30"/>
        <v>128654.2134344917</v>
      </c>
    </row>
    <row r="72" spans="1:12" ht="15.75" thickTop="1" x14ac:dyDescent="0.25">
      <c r="C72" s="78"/>
      <c r="D72" s="78"/>
      <c r="E72" s="78"/>
      <c r="F72" s="78"/>
      <c r="G72" s="78"/>
    </row>
    <row r="73" spans="1:12" x14ac:dyDescent="0.25">
      <c r="B73" s="24" t="s">
        <v>88</v>
      </c>
      <c r="C73" s="121" t="str">
        <f t="shared" ref="C73:H73" si="31">IF(ABS(C71-C58)&lt;1,"TRUE","FALSE")</f>
        <v>TRUE</v>
      </c>
      <c r="D73" s="121" t="str">
        <f t="shared" si="31"/>
        <v>TRUE</v>
      </c>
      <c r="E73" s="121" t="str">
        <f t="shared" si="31"/>
        <v>TRUE</v>
      </c>
      <c r="F73" s="121" t="str">
        <f t="shared" si="31"/>
        <v>TRUE</v>
      </c>
      <c r="G73" s="121" t="str">
        <f t="shared" si="31"/>
        <v>TRUE</v>
      </c>
      <c r="H73" s="121" t="str">
        <f t="shared" si="31"/>
        <v>TRUE</v>
      </c>
      <c r="I73" s="121" t="str">
        <f>IF(ABS(I71-I58)&lt;1,"TRUE","FALSE")</f>
        <v>TRUE</v>
      </c>
      <c r="J73" s="121" t="str">
        <f t="shared" ref="J73:L73" si="32">IF(ABS(J71-J58)&lt;1,"TRUE","FALSE")</f>
        <v>TRUE</v>
      </c>
      <c r="K73" s="121" t="str">
        <f t="shared" si="32"/>
        <v>TRUE</v>
      </c>
      <c r="L73" s="121" t="str">
        <f t="shared" si="32"/>
        <v>TRUE</v>
      </c>
    </row>
    <row r="74" spans="1:12" x14ac:dyDescent="0.25">
      <c r="B74" s="23"/>
      <c r="C74" s="78"/>
      <c r="D74" s="78"/>
      <c r="E74" s="78"/>
      <c r="F74" s="78"/>
      <c r="G74" s="78"/>
    </row>
    <row r="75" spans="1:12" x14ac:dyDescent="0.25">
      <c r="A75" t="s">
        <v>81</v>
      </c>
      <c r="B75" s="13" t="s">
        <v>89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x14ac:dyDescent="0.25">
      <c r="B76" s="2" t="s">
        <v>118</v>
      </c>
      <c r="C76" s="78"/>
      <c r="D76" s="78"/>
      <c r="E76" s="78"/>
      <c r="F76" s="78"/>
      <c r="G76" s="78"/>
    </row>
    <row r="77" spans="1:12" x14ac:dyDescent="0.25">
      <c r="B77" s="21" t="s">
        <v>9</v>
      </c>
      <c r="C77" s="78"/>
      <c r="D77" s="78"/>
      <c r="E77" s="78"/>
      <c r="F77" s="78"/>
      <c r="G77" s="19"/>
      <c r="H77" s="94">
        <f>IFERROR(H36,0)</f>
        <v>4791.8190496000016</v>
      </c>
      <c r="I77" s="94">
        <f t="shared" ref="I77:L77" si="33">IFERROR(I36,0)</f>
        <v>6446.4005503919889</v>
      </c>
      <c r="J77" s="94">
        <f t="shared" si="33"/>
        <v>7856.3725368809883</v>
      </c>
      <c r="K77" s="94">
        <f t="shared" si="33"/>
        <v>8881.5866084175468</v>
      </c>
      <c r="L77" s="94">
        <f t="shared" si="33"/>
        <v>10673.052838967724</v>
      </c>
    </row>
    <row r="78" spans="1:12" x14ac:dyDescent="0.25">
      <c r="B78" s="21" t="s">
        <v>254</v>
      </c>
      <c r="C78" s="78"/>
      <c r="D78" s="78"/>
      <c r="E78" s="78"/>
      <c r="F78" s="78"/>
      <c r="G78" s="19"/>
      <c r="H78" s="94">
        <f>IFERROR('FA Schedule'!H8,0)</f>
        <v>1341.21</v>
      </c>
      <c r="I78" s="94">
        <f>IFERROR('FA Schedule'!I8,0)</f>
        <v>1704.7610579999998</v>
      </c>
      <c r="J78" s="94">
        <f>IFERROR('FA Schedule'!J8,0)</f>
        <v>2103.6844510499996</v>
      </c>
      <c r="K78" s="94">
        <f>IFERROR('FA Schedule'!K8,0)</f>
        <v>2534.5205523592495</v>
      </c>
      <c r="L78" s="94">
        <f>IFERROR('FA Schedule'!L8,0)</f>
        <v>2999.0912536101555</v>
      </c>
    </row>
    <row r="79" spans="1:12" x14ac:dyDescent="0.25">
      <c r="B79" s="21" t="s">
        <v>248</v>
      </c>
      <c r="C79" s="78"/>
      <c r="D79" s="78"/>
      <c r="E79" s="78"/>
      <c r="F79" s="78"/>
      <c r="G79" s="19"/>
      <c r="H79" s="94">
        <f>-IFERROR('WC Schedule'!H7-'WC Schedule'!G7,0)</f>
        <v>-4067.1686356164355</v>
      </c>
      <c r="I79" s="94">
        <f>-IFERROR('WC Schedule'!I7-'WC Schedule'!H7,0)</f>
        <v>-7289.8274814246615</v>
      </c>
      <c r="J79" s="94">
        <f>-IFERROR('WC Schedule'!J7-'WC Schedule'!I7,0)</f>
        <v>-7730.9562352438297</v>
      </c>
      <c r="K79" s="94">
        <f>-IFERROR('WC Schedule'!K7-'WC Schedule'!J7,0)</f>
        <v>-8656.3333293198884</v>
      </c>
      <c r="L79" s="94">
        <f>-IFERROR('WC Schedule'!L7-'WC Schedule'!K7,0)</f>
        <v>-8668.6227111538901</v>
      </c>
    </row>
    <row r="80" spans="1:12" x14ac:dyDescent="0.25">
      <c r="B80" s="21" t="s">
        <v>249</v>
      </c>
      <c r="C80" s="78"/>
      <c r="D80" s="78"/>
      <c r="E80" s="78"/>
      <c r="F80" s="78"/>
      <c r="G80" s="19"/>
      <c r="H80" s="94">
        <f>-IFERROR('WC Schedule'!H6-'WC Schedule'!G6,0)</f>
        <v>-840.47912328767097</v>
      </c>
      <c r="I80" s="94">
        <f>-IFERROR('WC Schedule'!I6-'WC Schedule'!H6,0)</f>
        <v>-298.60145095890402</v>
      </c>
      <c r="J80" s="94">
        <f>-IFERROR('WC Schedule'!J6-'WC Schedule'!I6,0)</f>
        <v>-308.262086136986</v>
      </c>
      <c r="K80" s="94">
        <f>-IFERROR('WC Schedule'!K6-'WC Schedule'!J6,0)</f>
        <v>-330.86797245369871</v>
      </c>
      <c r="L80" s="94">
        <f>-IFERROR('WC Schedule'!L6-'WC Schedule'!K6,0)</f>
        <v>-350.24738226884347</v>
      </c>
    </row>
    <row r="81" spans="2:12" x14ac:dyDescent="0.25">
      <c r="B81" s="21" t="s">
        <v>250</v>
      </c>
      <c r="C81" s="78"/>
      <c r="D81" s="78"/>
      <c r="E81" s="78"/>
      <c r="F81" s="78"/>
      <c r="G81" s="19"/>
      <c r="H81" s="94">
        <f>-IFERROR(Forcasting!H63-Forcasting!G63,0)</f>
        <v>-904.6239999999998</v>
      </c>
      <c r="I81" s="94">
        <f>-IFERROR(Forcasting!I63-Forcasting!H63,0)</f>
        <v>-908.24607999999989</v>
      </c>
      <c r="J81" s="94">
        <f>-IFERROR(Forcasting!J63-Forcasting!I63,0)</f>
        <v>-937.63051199999882</v>
      </c>
      <c r="K81" s="94">
        <f>-IFERROR(Forcasting!K63-Forcasting!J63,0)</f>
        <v>-1006.3900828799997</v>
      </c>
      <c r="L81" s="94">
        <f>-IFERROR(Forcasting!L63-Forcasting!K63,0)</f>
        <v>-1065.3357877344006</v>
      </c>
    </row>
    <row r="82" spans="2:12" x14ac:dyDescent="0.25">
      <c r="B82" s="21" t="s">
        <v>251</v>
      </c>
      <c r="C82" s="78"/>
      <c r="D82" s="78"/>
      <c r="E82" s="78"/>
      <c r="F82" s="78"/>
      <c r="G82" s="19"/>
      <c r="H82" s="94">
        <f>IFERROR('WC Schedule'!H12-'WC Schedule'!G12,0)</f>
        <v>736.78220273972556</v>
      </c>
      <c r="I82" s="94">
        <f>IFERROR('WC Schedule'!I12-'WC Schedule'!H12,0)</f>
        <v>560.75596010958952</v>
      </c>
      <c r="J82" s="94">
        <f>IFERROR('WC Schedule'!J12-'WC Schedule'!I12,0)</f>
        <v>594.68894117260152</v>
      </c>
      <c r="K82" s="94">
        <f>IFERROR('WC Schedule'!K12-'WC Schedule'!J12,0)</f>
        <v>665.87179456306785</v>
      </c>
      <c r="L82" s="94">
        <f>IFERROR('WC Schedule'!L12-'WC Schedule'!K12,0)</f>
        <v>666.81713162722281</v>
      </c>
    </row>
    <row r="83" spans="2:12" x14ac:dyDescent="0.25">
      <c r="B83" s="21" t="s">
        <v>252</v>
      </c>
      <c r="C83" s="78"/>
      <c r="D83" s="78"/>
      <c r="E83" s="78"/>
      <c r="F83" s="78"/>
      <c r="G83" s="19"/>
      <c r="H83" s="94">
        <f>IFERROR('WC Schedule'!H13-'WC Schedule'!G13,0)</f>
        <v>-470.90080000000034</v>
      </c>
      <c r="I83" s="94">
        <f>IFERROR('WC Schedule'!I13-'WC Schedule'!H13,0)</f>
        <v>726.5968640000001</v>
      </c>
      <c r="J83" s="94">
        <f>IFERROR('WC Schedule'!J13-'WC Schedule'!I13,0)</f>
        <v>750.10440959999869</v>
      </c>
      <c r="K83" s="94">
        <f>IFERROR('WC Schedule'!K13-'WC Schedule'!J13,0)</f>
        <v>805.11206630400011</v>
      </c>
      <c r="L83" s="94">
        <f>IFERROR('WC Schedule'!L13-'WC Schedule'!K13,0)</f>
        <v>852.2686301875201</v>
      </c>
    </row>
    <row r="84" spans="2:12" x14ac:dyDescent="0.25">
      <c r="B84" s="21" t="s">
        <v>253</v>
      </c>
      <c r="C84" s="78"/>
      <c r="D84" s="78"/>
      <c r="E84" s="78"/>
      <c r="F84" s="78"/>
      <c r="G84" s="19"/>
      <c r="H84" s="94">
        <f>IFERROR('WC Schedule'!H14-'WC Schedule'!G14,0)</f>
        <v>1920.1983999999993</v>
      </c>
      <c r="I84" s="94">
        <f>IFERROR('WC Schedule'!I14-'WC Schedule'!H14,0)</f>
        <v>1453.1937280000002</v>
      </c>
      <c r="J84" s="94">
        <f>IFERROR('WC Schedule'!J14-'WC Schedule'!I14,0)</f>
        <v>1500.2088191999974</v>
      </c>
      <c r="K84" s="94">
        <f>IFERROR('WC Schedule'!K14-'WC Schedule'!J14,0)</f>
        <v>1610.2241326080002</v>
      </c>
      <c r="L84" s="94">
        <f>IFERROR('WC Schedule'!L14-'WC Schedule'!K14,0)</f>
        <v>1704.5372603750402</v>
      </c>
    </row>
    <row r="85" spans="2:12" x14ac:dyDescent="0.25">
      <c r="B85" s="84" t="s">
        <v>150</v>
      </c>
      <c r="C85" s="92">
        <f>+'Historical FS'!H86</f>
        <v>-724</v>
      </c>
      <c r="D85" s="92">
        <f>+'Historical FS'!I86</f>
        <v>1370</v>
      </c>
      <c r="E85" s="92">
        <f>+'Historical FS'!J86</f>
        <v>1695</v>
      </c>
      <c r="F85" s="92">
        <f>+'Historical FS'!K86</f>
        <v>-541</v>
      </c>
      <c r="G85" s="92">
        <f>+'Historical FS'!L86</f>
        <v>5590</v>
      </c>
      <c r="H85" s="100">
        <f>IFERROR(SUM(H77:H84),0)</f>
        <v>2506.8370934356199</v>
      </c>
      <c r="I85" s="100">
        <f t="shared" ref="I85:L85" si="34">IFERROR(SUM(I77:I84),0)</f>
        <v>2395.0331481180133</v>
      </c>
      <c r="J85" s="100">
        <f t="shared" si="34"/>
        <v>3828.2103245227709</v>
      </c>
      <c r="K85" s="100">
        <f t="shared" si="34"/>
        <v>4503.7237695982767</v>
      </c>
      <c r="L85" s="100">
        <f t="shared" si="34"/>
        <v>6811.5612336105278</v>
      </c>
    </row>
    <row r="86" spans="2:12" x14ac:dyDescent="0.25">
      <c r="C86" s="78"/>
      <c r="D86" s="78"/>
      <c r="E86" s="78"/>
      <c r="F86" s="78"/>
      <c r="G86" s="78"/>
    </row>
    <row r="87" spans="2:12" x14ac:dyDescent="0.25">
      <c r="B87" s="2" t="s">
        <v>119</v>
      </c>
      <c r="C87" s="78"/>
      <c r="D87" s="78"/>
      <c r="E87" s="78"/>
      <c r="F87" s="78"/>
      <c r="G87" s="78"/>
    </row>
    <row r="88" spans="2:12" x14ac:dyDescent="0.25">
      <c r="B88" s="21" t="s">
        <v>255</v>
      </c>
      <c r="C88" s="78"/>
      <c r="D88" s="78"/>
      <c r="E88" s="78"/>
      <c r="F88" s="78"/>
      <c r="G88" s="78"/>
      <c r="H88" s="94">
        <f>-IFERROR('FA Schedule'!H7,0)</f>
        <v>-3205.5744</v>
      </c>
      <c r="I88" s="94">
        <f>-IFERROR('FA Schedule'!I7,0)</f>
        <v>-3750.5220479999994</v>
      </c>
      <c r="J88" s="94">
        <f>-IFERROR('FA Schedule'!J7,0)</f>
        <v>-4313.1003551999984</v>
      </c>
      <c r="K88" s="94">
        <f>-IFERROR('FA Schedule'!K7,0)</f>
        <v>-4916.9344049279989</v>
      </c>
      <c r="L88" s="94">
        <f>-IFERROR('FA Schedule'!L7,0)</f>
        <v>-5556.1358775686385</v>
      </c>
    </row>
    <row r="89" spans="2:12" x14ac:dyDescent="0.25">
      <c r="B89" s="21" t="s">
        <v>256</v>
      </c>
      <c r="C89" s="78"/>
      <c r="D89" s="78"/>
      <c r="E89" s="78"/>
      <c r="F89" s="78"/>
      <c r="G89" s="78"/>
      <c r="H89" s="94">
        <f>-IFERROR('FA Schedule'!H12-'FA Schedule'!G12,0)</f>
        <v>0</v>
      </c>
      <c r="I89" s="94">
        <f>-IFERROR('FA Schedule'!I12-'FA Schedule'!H12,0)</f>
        <v>0</v>
      </c>
      <c r="J89" s="94">
        <f>-IFERROR('FA Schedule'!J12-'FA Schedule'!I12,0)</f>
        <v>0</v>
      </c>
      <c r="K89" s="94">
        <f>-IFERROR('FA Schedule'!K12-'FA Schedule'!J12,0)</f>
        <v>0</v>
      </c>
      <c r="L89" s="94">
        <f>-IFERROR('FA Schedule'!L12-'FA Schedule'!K12,0)</f>
        <v>0</v>
      </c>
    </row>
    <row r="90" spans="2:12" x14ac:dyDescent="0.25">
      <c r="B90" s="21" t="s">
        <v>257</v>
      </c>
      <c r="C90" s="78"/>
      <c r="D90" s="78"/>
      <c r="E90" s="78"/>
      <c r="F90" s="78"/>
      <c r="G90" s="78"/>
      <c r="H90" s="94">
        <f>-IFERROR('FA Schedule'!H13-'FA Schedule'!G13,0)</f>
        <v>0</v>
      </c>
      <c r="I90" s="94">
        <f>-IFERROR('FA Schedule'!I13-'FA Schedule'!H13,0)</f>
        <v>0</v>
      </c>
      <c r="J90" s="94">
        <f>-IFERROR('FA Schedule'!J13-'FA Schedule'!I13,0)</f>
        <v>0</v>
      </c>
      <c r="K90" s="94">
        <f>-IFERROR('FA Schedule'!K13-'FA Schedule'!J13,0)</f>
        <v>0</v>
      </c>
      <c r="L90" s="94">
        <f>-IFERROR('FA Schedule'!L13-'FA Schedule'!K13,0)</f>
        <v>0</v>
      </c>
    </row>
    <row r="91" spans="2:12" x14ac:dyDescent="0.25">
      <c r="B91" s="84" t="s">
        <v>122</v>
      </c>
      <c r="C91" s="92">
        <f>+'Historical FS'!H99</f>
        <v>1165</v>
      </c>
      <c r="D91" s="92">
        <f>+'Historical FS'!I99</f>
        <v>-1814</v>
      </c>
      <c r="E91" s="92">
        <f>+'Historical FS'!J99</f>
        <v>-189</v>
      </c>
      <c r="F91" s="92">
        <f>+'Historical FS'!K99</f>
        <v>546</v>
      </c>
      <c r="G91" s="92">
        <f>+'Historical FS'!L99</f>
        <v>-2965</v>
      </c>
      <c r="H91" s="100">
        <f>IFERROR(SUM(H88:H90),0)</f>
        <v>-3205.5744</v>
      </c>
      <c r="I91" s="100">
        <f t="shared" ref="I91:L91" si="35">IFERROR(SUM(I88:I90),0)</f>
        <v>-3750.5220479999994</v>
      </c>
      <c r="J91" s="100">
        <f t="shared" si="35"/>
        <v>-4313.1003551999984</v>
      </c>
      <c r="K91" s="100">
        <f t="shared" si="35"/>
        <v>-4916.9344049279989</v>
      </c>
      <c r="L91" s="100">
        <f t="shared" si="35"/>
        <v>-5556.1358775686385</v>
      </c>
    </row>
    <row r="92" spans="2:12" x14ac:dyDescent="0.25">
      <c r="C92" s="78"/>
      <c r="D92" s="78"/>
      <c r="E92" s="78"/>
      <c r="F92" s="78"/>
      <c r="G92" s="78"/>
    </row>
    <row r="93" spans="2:12" x14ac:dyDescent="0.25">
      <c r="B93" s="2" t="s">
        <v>121</v>
      </c>
      <c r="C93" s="78"/>
      <c r="D93" s="78"/>
      <c r="E93" s="78"/>
      <c r="F93" s="78"/>
      <c r="G93" s="78"/>
    </row>
    <row r="94" spans="2:12" x14ac:dyDescent="0.25">
      <c r="B94" s="21" t="s">
        <v>258</v>
      </c>
      <c r="C94" s="78"/>
      <c r="D94" s="78"/>
      <c r="E94" s="78"/>
      <c r="F94" s="78"/>
      <c r="G94" s="78"/>
      <c r="H94" s="94">
        <f>IFERROR('Debt Schedule'!H7,0)</f>
        <v>5511.7799999999988</v>
      </c>
      <c r="I94" s="94">
        <f>IFERROR('Debt Schedule'!I7,0)</f>
        <v>5419.916999999994</v>
      </c>
      <c r="J94" s="94">
        <f>IFERROR('Debt Schedule'!J7,0)</f>
        <v>5401.850609999994</v>
      </c>
      <c r="K94" s="94">
        <f>IFERROR('Debt Schedule'!K7,0)</f>
        <v>5165.000237100001</v>
      </c>
      <c r="L94" s="94">
        <f>IFERROR('Debt Schedule'!L7,0)</f>
        <v>4690.7593062390006</v>
      </c>
    </row>
    <row r="95" spans="2:12" x14ac:dyDescent="0.25">
      <c r="B95" s="21" t="s">
        <v>259</v>
      </c>
      <c r="C95" s="78"/>
      <c r="D95" s="78"/>
      <c r="E95" s="78"/>
      <c r="F95" s="78"/>
      <c r="G95" s="78"/>
      <c r="H95" s="94">
        <f>-IFERROR(H44*H39,0)</f>
        <v>-1341.7093338880006</v>
      </c>
      <c r="I95" s="94">
        <f t="shared" ref="I95:L95" si="36">-IFERROR(I44*I39,0)</f>
        <v>-1804.9921541097567</v>
      </c>
      <c r="J95" s="94">
        <f t="shared" si="36"/>
        <v>-2199.7843103266769</v>
      </c>
      <c r="K95" s="94">
        <f t="shared" si="36"/>
        <v>-2486.8442503569131</v>
      </c>
      <c r="L95" s="94">
        <f t="shared" si="36"/>
        <v>-2988.4547949109624</v>
      </c>
    </row>
    <row r="96" spans="2:12" x14ac:dyDescent="0.25">
      <c r="B96" s="21" t="s">
        <v>260</v>
      </c>
      <c r="C96" s="78"/>
      <c r="D96" s="78"/>
      <c r="E96" s="78"/>
      <c r="F96" s="78"/>
      <c r="G96" s="78"/>
      <c r="H96" s="94">
        <f>IFERROR(H50-G50,0)</f>
        <v>0</v>
      </c>
      <c r="I96" s="94">
        <f t="shared" ref="I96:L96" si="37">IFERROR(I50-H50,0)</f>
        <v>0</v>
      </c>
      <c r="J96" s="94">
        <f t="shared" si="37"/>
        <v>0</v>
      </c>
      <c r="K96" s="94">
        <f t="shared" si="37"/>
        <v>0</v>
      </c>
      <c r="L96" s="94">
        <f t="shared" si="37"/>
        <v>0</v>
      </c>
    </row>
    <row r="97" spans="2:12" x14ac:dyDescent="0.25">
      <c r="B97" s="84" t="s">
        <v>120</v>
      </c>
      <c r="C97" s="92">
        <f>+'Historical FS'!H108</f>
        <v>-403</v>
      </c>
      <c r="D97" s="92">
        <f>+'Historical FS'!I108</f>
        <v>457</v>
      </c>
      <c r="E97" s="92">
        <f>+'Historical FS'!J108</f>
        <v>-1329</v>
      </c>
      <c r="F97" s="92">
        <f>+'Historical FS'!K108</f>
        <v>-7</v>
      </c>
      <c r="G97" s="92">
        <f>+'Historical FS'!L108</f>
        <v>-2159</v>
      </c>
      <c r="H97" s="100">
        <f>IFERROR(SUM(H94:H96),0)</f>
        <v>4170.0706661119984</v>
      </c>
      <c r="I97" s="100">
        <f t="shared" ref="I97:L97" si="38">IFERROR(SUM(I94:I96),0)</f>
        <v>3614.9248458902375</v>
      </c>
      <c r="J97" s="100">
        <f t="shared" si="38"/>
        <v>3202.0662996733172</v>
      </c>
      <c r="K97" s="100">
        <f t="shared" si="38"/>
        <v>2678.1559867430879</v>
      </c>
      <c r="L97" s="100">
        <f t="shared" si="38"/>
        <v>1702.3045113280382</v>
      </c>
    </row>
    <row r="98" spans="2:12" x14ac:dyDescent="0.25">
      <c r="C98" s="78"/>
      <c r="D98" s="78"/>
      <c r="E98" s="78"/>
      <c r="F98" s="78"/>
      <c r="G98" s="78"/>
      <c r="H98" s="102"/>
      <c r="I98" s="102"/>
      <c r="J98" s="102"/>
      <c r="K98" s="102"/>
      <c r="L98" s="102"/>
    </row>
    <row r="99" spans="2:12" ht="15.75" thickBot="1" x14ac:dyDescent="0.3">
      <c r="B99" s="89" t="s">
        <v>21</v>
      </c>
      <c r="C99" s="91">
        <f>+'Historical FS'!H110</f>
        <v>38</v>
      </c>
      <c r="D99" s="91">
        <f>+'Historical FS'!I110</f>
        <v>13</v>
      </c>
      <c r="E99" s="91">
        <f>+'Historical FS'!J110</f>
        <v>177</v>
      </c>
      <c r="F99" s="91">
        <f>+'Historical FS'!K110</f>
        <v>-2</v>
      </c>
      <c r="G99" s="91">
        <f>+'Historical FS'!L110</f>
        <v>466</v>
      </c>
      <c r="H99" s="107">
        <f>IFERROR(SUM(H97,H91,H85),0)</f>
        <v>3471.3333595476183</v>
      </c>
      <c r="I99" s="107">
        <f t="shared" ref="I99:L99" si="39">IFERROR(SUM(I97,I91,I85),0)</f>
        <v>2259.4359460082514</v>
      </c>
      <c r="J99" s="107">
        <f t="shared" si="39"/>
        <v>2717.1762689960897</v>
      </c>
      <c r="K99" s="107">
        <f t="shared" si="39"/>
        <v>2264.9453514133656</v>
      </c>
      <c r="L99" s="107">
        <f t="shared" si="39"/>
        <v>2957.7298673699274</v>
      </c>
    </row>
    <row r="100" spans="2:12" ht="15.75" thickTop="1" x14ac:dyDescent="0.25">
      <c r="B100" t="s">
        <v>262</v>
      </c>
      <c r="C100" s="19">
        <f>IFERROR('Historical FS'!G68,0)</f>
        <v>560</v>
      </c>
      <c r="D100" s="19">
        <f>C101</f>
        <v>1573</v>
      </c>
      <c r="E100" s="19">
        <f t="shared" ref="E100:G100" si="40">D101</f>
        <v>1343</v>
      </c>
      <c r="F100" s="19">
        <f t="shared" si="40"/>
        <v>1526</v>
      </c>
      <c r="G100" s="19">
        <f t="shared" si="40"/>
        <v>1584</v>
      </c>
      <c r="H100" s="94">
        <f>G101</f>
        <v>1917</v>
      </c>
      <c r="I100" s="94">
        <f t="shared" ref="I100:L100" si="41">H101</f>
        <v>5388.3333595476179</v>
      </c>
      <c r="J100" s="94">
        <f t="shared" si="41"/>
        <v>7647.7693055558693</v>
      </c>
      <c r="K100" s="94">
        <f t="shared" si="41"/>
        <v>10364.945574551959</v>
      </c>
      <c r="L100" s="94">
        <f t="shared" si="41"/>
        <v>12629.890925965325</v>
      </c>
    </row>
    <row r="101" spans="2:12" x14ac:dyDescent="0.25">
      <c r="B101" s="2" t="s">
        <v>263</v>
      </c>
      <c r="C101" s="93">
        <f>IFERROR('Historical FS'!H68,0)</f>
        <v>1573</v>
      </c>
      <c r="D101" s="93">
        <f>IFERROR('Historical FS'!I68,0)</f>
        <v>1343</v>
      </c>
      <c r="E101" s="93">
        <f>IFERROR('Historical FS'!J68,0)</f>
        <v>1526</v>
      </c>
      <c r="F101" s="93">
        <f>IFERROR('Historical FS'!K68,0)</f>
        <v>1584</v>
      </c>
      <c r="G101" s="93">
        <f>IFERROR('Historical FS'!L68,0)</f>
        <v>1917</v>
      </c>
      <c r="H101" s="108">
        <f>IFERROR(H100+H99,0)</f>
        <v>5388.3333595476179</v>
      </c>
      <c r="I101" s="108">
        <f>IFERROR(I100+I99,0)</f>
        <v>7647.7693055558693</v>
      </c>
      <c r="J101" s="108">
        <f>IFERROR(J100+J99,0)</f>
        <v>10364.945574551959</v>
      </c>
      <c r="K101" s="108">
        <f t="shared" ref="K101:L101" si="42">IFERROR(K100+K99,0)</f>
        <v>12629.890925965325</v>
      </c>
      <c r="L101" s="108">
        <f t="shared" si="42"/>
        <v>15587.620793335253</v>
      </c>
    </row>
    <row r="103" spans="2:12" x14ac:dyDescent="0.25">
      <c r="B103" s="44" t="s">
        <v>264</v>
      </c>
      <c r="C103" s="112">
        <f>C85-'FA Schedule'!C7</f>
        <v>-1144</v>
      </c>
      <c r="D103" s="112">
        <f>D85-'FA Schedule'!D7</f>
        <v>475</v>
      </c>
      <c r="E103" s="112">
        <f>E85-'FA Schedule'!E7</f>
        <v>400</v>
      </c>
      <c r="F103" s="112">
        <f>F85-'FA Schedule'!F7</f>
        <v>-1587</v>
      </c>
      <c r="G103" s="112">
        <f>G85-'FA Schedule'!G7</f>
        <v>1948</v>
      </c>
      <c r="H103" s="113">
        <f>H85+H88</f>
        <v>-698.73730656438011</v>
      </c>
      <c r="I103" s="113">
        <f t="shared" ref="I103:L103" si="43">I85+I88</f>
        <v>-1355.4888998819861</v>
      </c>
      <c r="J103" s="113">
        <f t="shared" si="43"/>
        <v>-484.89003067722751</v>
      </c>
      <c r="K103" s="113">
        <f t="shared" si="43"/>
        <v>-413.21063532972221</v>
      </c>
      <c r="L103" s="113">
        <f t="shared" si="43"/>
        <v>1255.4253560418892</v>
      </c>
    </row>
  </sheetData>
  <mergeCells count="1">
    <mergeCell ref="B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90D8-25DF-4B79-AED7-327077159870}">
  <dimension ref="B2:L17"/>
  <sheetViews>
    <sheetView showGridLines="0" workbookViewId="0">
      <pane xSplit="2" ySplit="3" topLeftCell="C4" activePane="bottomRight" state="frozen"/>
      <selection activeCell="B2" sqref="B2:L2"/>
      <selection pane="topRight" activeCell="B2" sqref="B2:L2"/>
      <selection pane="bottomLeft" activeCell="B2" sqref="B2:L2"/>
      <selection pane="bottomRight" activeCell="C7" sqref="C7"/>
    </sheetView>
  </sheetViews>
  <sheetFormatPr defaultRowHeight="15" x14ac:dyDescent="0.25"/>
  <cols>
    <col min="1" max="1" width="1.85546875" customWidth="1"/>
    <col min="2" max="2" width="45" bestFit="1" customWidth="1"/>
    <col min="3" max="12" width="11.28515625" customWidth="1"/>
  </cols>
  <sheetData>
    <row r="2" spans="2:12" x14ac:dyDescent="0.25">
      <c r="B2" s="150" t="str">
        <f>"Fixed Asset &amp; Depriciation Schedule - "&amp;'Data Sheet'!B1</f>
        <v>Fixed Asset &amp; Depriciation Schedule - TITAN COMPANY LTD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2:12" x14ac:dyDescent="0.25">
      <c r="B3" s="9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</row>
    <row r="4" spans="2:12" x14ac:dyDescent="0.25">
      <c r="B4" s="146" t="s">
        <v>303</v>
      </c>
    </row>
    <row r="5" spans="2:12" x14ac:dyDescent="0.25">
      <c r="B5" s="13" t="s">
        <v>84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2:12" x14ac:dyDescent="0.25">
      <c r="B6" t="s">
        <v>219</v>
      </c>
      <c r="C6" s="78">
        <f>IFERROR('Historical FS'!G60,0)</f>
        <v>2523</v>
      </c>
      <c r="D6" s="19">
        <f>C9</f>
        <v>2544</v>
      </c>
      <c r="E6" s="19">
        <f t="shared" ref="E6:L6" si="1">D9</f>
        <v>2998</v>
      </c>
      <c r="F6" s="19">
        <f t="shared" si="1"/>
        <v>3709</v>
      </c>
      <c r="G6" s="19">
        <f t="shared" si="1"/>
        <v>4062</v>
      </c>
      <c r="H6" s="94">
        <f t="shared" si="1"/>
        <v>6878</v>
      </c>
      <c r="I6" s="94">
        <f t="shared" si="1"/>
        <v>8742.3643999999986</v>
      </c>
      <c r="J6" s="94">
        <f t="shared" si="1"/>
        <v>10788.125389999997</v>
      </c>
      <c r="K6" s="94">
        <f t="shared" si="1"/>
        <v>12997.541294149996</v>
      </c>
      <c r="L6" s="94">
        <f t="shared" si="1"/>
        <v>15379.955146718745</v>
      </c>
    </row>
    <row r="7" spans="2:12" x14ac:dyDescent="0.25">
      <c r="B7" t="s">
        <v>217</v>
      </c>
      <c r="C7" s="19">
        <f>IFERROR(C9+C8-C6,0)</f>
        <v>420</v>
      </c>
      <c r="D7" s="19">
        <f t="shared" ref="D7:G7" si="2">IFERROR(D9+D8-D6,0)</f>
        <v>895</v>
      </c>
      <c r="E7" s="19">
        <f t="shared" si="2"/>
        <v>1295</v>
      </c>
      <c r="F7" s="19">
        <f t="shared" si="2"/>
        <v>1046</v>
      </c>
      <c r="G7" s="19">
        <f t="shared" si="2"/>
        <v>3642</v>
      </c>
      <c r="H7" s="94">
        <f>IFERROR(Forcasting!H6*Assumptions!C15,0)</f>
        <v>3205.5744</v>
      </c>
      <c r="I7" s="94">
        <f>IFERROR(Forcasting!I6*Assumptions!D15,0)</f>
        <v>3750.5220479999994</v>
      </c>
      <c r="J7" s="94">
        <f>IFERROR(Forcasting!J6*Assumptions!E15,0)</f>
        <v>4313.1003551999984</v>
      </c>
      <c r="K7" s="94">
        <f>IFERROR(Forcasting!K6*Assumptions!F15,0)</f>
        <v>4916.9344049279989</v>
      </c>
      <c r="L7" s="94">
        <f>IFERROR(Forcasting!L6*Assumptions!G15,0)</f>
        <v>5556.1358775686385</v>
      </c>
    </row>
    <row r="8" spans="2:12" x14ac:dyDescent="0.25">
      <c r="B8" t="s">
        <v>218</v>
      </c>
      <c r="C8" s="78">
        <f>IFERROR('Data Sheet'!G26,0)</f>
        <v>399</v>
      </c>
      <c r="D8" s="78">
        <f>IFERROR('Data Sheet'!H26,0)</f>
        <v>441</v>
      </c>
      <c r="E8" s="78">
        <f>IFERROR('Data Sheet'!I26,0)</f>
        <v>584</v>
      </c>
      <c r="F8" s="78">
        <f>IFERROR('Data Sheet'!J26,0)</f>
        <v>693</v>
      </c>
      <c r="G8" s="78">
        <f>IFERROR('Data Sheet'!K26,0)</f>
        <v>826</v>
      </c>
      <c r="H8" s="94">
        <f>IFERROR('FA Schedule'!H6*Assumptions!C16,0)</f>
        <v>1341.21</v>
      </c>
      <c r="I8" s="94">
        <f>IFERROR('FA Schedule'!I6*Assumptions!D16,0)</f>
        <v>1704.7610579999998</v>
      </c>
      <c r="J8" s="94">
        <f>IFERROR('FA Schedule'!J6*Assumptions!E16,0)</f>
        <v>2103.6844510499996</v>
      </c>
      <c r="K8" s="94">
        <f>IFERROR('FA Schedule'!K6*Assumptions!F16,0)</f>
        <v>2534.5205523592495</v>
      </c>
      <c r="L8" s="94">
        <f>IFERROR('FA Schedule'!L6*Assumptions!G16,0)</f>
        <v>2999.0912536101555</v>
      </c>
    </row>
    <row r="9" spans="2:12" ht="15.75" thickBot="1" x14ac:dyDescent="0.3">
      <c r="B9" s="89" t="s">
        <v>220</v>
      </c>
      <c r="C9" s="91">
        <f>IFERROR(Forcasting!C60,0)</f>
        <v>2544</v>
      </c>
      <c r="D9" s="91">
        <f>IFERROR(Forcasting!D60,0)</f>
        <v>2998</v>
      </c>
      <c r="E9" s="91">
        <f>IFERROR(Forcasting!E60,0)</f>
        <v>3709</v>
      </c>
      <c r="F9" s="91">
        <f>IFERROR(Forcasting!F60,0)</f>
        <v>4062</v>
      </c>
      <c r="G9" s="91">
        <f>IFERROR(Forcasting!G60,0)</f>
        <v>6878</v>
      </c>
      <c r="H9" s="101">
        <f>+H6+H7-H8</f>
        <v>8742.3643999999986</v>
      </c>
      <c r="I9" s="101">
        <f t="shared" ref="I9:L9" si="3">+I6+I7-I8</f>
        <v>10788.125389999997</v>
      </c>
      <c r="J9" s="101">
        <f t="shared" si="3"/>
        <v>12997.541294149996</v>
      </c>
      <c r="K9" s="101">
        <f t="shared" si="3"/>
        <v>15379.955146718745</v>
      </c>
      <c r="L9" s="101">
        <f t="shared" si="3"/>
        <v>17936.999770677226</v>
      </c>
    </row>
    <row r="10" spans="2:12" ht="15.75" thickTop="1" x14ac:dyDescent="0.25"/>
    <row r="11" spans="2:12" x14ac:dyDescent="0.25">
      <c r="B11" s="13" t="s">
        <v>221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2:12" x14ac:dyDescent="0.25">
      <c r="B12" s="21" t="s">
        <v>15</v>
      </c>
      <c r="C12" s="78">
        <f>IFERROR(Forcasting!C61,0)</f>
        <v>85</v>
      </c>
      <c r="D12" s="78">
        <f>IFERROR(Forcasting!D61,0)</f>
        <v>144</v>
      </c>
      <c r="E12" s="78">
        <f>IFERROR(Forcasting!E61,0)</f>
        <v>97</v>
      </c>
      <c r="F12" s="78">
        <f>IFERROR(Forcasting!F61,0)</f>
        <v>105</v>
      </c>
      <c r="G12" s="78">
        <f>IFERROR(Forcasting!G61,0)</f>
        <v>163</v>
      </c>
      <c r="H12" s="97">
        <f>IFERROR(Assumptions!C18,0)</f>
        <v>163</v>
      </c>
      <c r="I12" s="97">
        <f>IFERROR(Assumptions!D18,0)</f>
        <v>163</v>
      </c>
      <c r="J12" s="97">
        <f>IFERROR(Assumptions!E18,0)</f>
        <v>163</v>
      </c>
      <c r="K12" s="97">
        <f>IFERROR(Assumptions!F18,0)</f>
        <v>163</v>
      </c>
      <c r="L12" s="97">
        <f>IFERROR(Assumptions!G18,0)</f>
        <v>163</v>
      </c>
    </row>
    <row r="13" spans="2:12" x14ac:dyDescent="0.25">
      <c r="B13" s="21" t="s">
        <v>16</v>
      </c>
      <c r="C13" s="78">
        <f>IFERROR(Forcasting!C62,0)</f>
        <v>294</v>
      </c>
      <c r="D13" s="78">
        <f>IFERROR(Forcasting!D62,0)</f>
        <v>2515</v>
      </c>
      <c r="E13" s="78">
        <f>IFERROR(Forcasting!E62,0)</f>
        <v>2345</v>
      </c>
      <c r="F13" s="78">
        <f>IFERROR(Forcasting!F62,0)</f>
        <v>1988</v>
      </c>
      <c r="G13" s="78">
        <f>IFERROR(Forcasting!G62,0)</f>
        <v>3506</v>
      </c>
      <c r="H13" s="97">
        <f>IFERROR(Assumptions!C17,0)</f>
        <v>3506</v>
      </c>
      <c r="I13" s="97">
        <f>IFERROR(Assumptions!D17,0)</f>
        <v>3506</v>
      </c>
      <c r="J13" s="97">
        <f>IFERROR(Assumptions!E17,0)</f>
        <v>3506</v>
      </c>
      <c r="K13" s="97">
        <f>IFERROR(Assumptions!F17,0)</f>
        <v>3506</v>
      </c>
      <c r="L13" s="97">
        <f>IFERROR(Assumptions!G17,0)</f>
        <v>3506</v>
      </c>
    </row>
    <row r="15" spans="2:12" x14ac:dyDescent="0.25">
      <c r="B15" s="13" t="s">
        <v>222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2:12" x14ac:dyDescent="0.25">
      <c r="B16" s="105" t="s">
        <v>199</v>
      </c>
      <c r="C16" s="16">
        <f>IFERROR(C7/Forcasting!C6,0)</f>
        <v>1.4583839716656829E-2</v>
      </c>
      <c r="D16" s="16">
        <f>IFERROR(D7/Forcasting!D6,0)</f>
        <v>2.2057917436845348E-2</v>
      </c>
      <c r="E16" s="16">
        <f>IFERROR(E7/Forcasting!E6,0)</f>
        <v>2.5350403257380003E-2</v>
      </c>
      <c r="F16" s="16">
        <f>IFERROR(F7/Forcasting!F6,0)</f>
        <v>1.7301839354241101E-2</v>
      </c>
      <c r="G16" s="16">
        <f>IFERROR(G7/Forcasting!G6,0)</f>
        <v>4.158293752283522E-2</v>
      </c>
      <c r="H16" s="95">
        <f>IFERROR(H7/Forcasting!H6,0)</f>
        <v>3.0000000000000002E-2</v>
      </c>
      <c r="I16" s="95">
        <f>IFERROR(I7/Forcasting!I6,0)</f>
        <v>0.03</v>
      </c>
      <c r="J16" s="95">
        <f>IFERROR(J7/Forcasting!J6,0)</f>
        <v>2.9999999999999995E-2</v>
      </c>
      <c r="K16" s="95">
        <f>IFERROR(K7/Forcasting!K6,0)</f>
        <v>0.03</v>
      </c>
      <c r="L16" s="95">
        <f>IFERROR(L7/Forcasting!L6,0)</f>
        <v>0.03</v>
      </c>
    </row>
    <row r="17" spans="2:12" x14ac:dyDescent="0.25">
      <c r="B17" s="105" t="s">
        <v>223</v>
      </c>
      <c r="C17" s="16">
        <f>+IFERROR(C8/C6,0)</f>
        <v>0.15814506539833531</v>
      </c>
      <c r="D17" s="16">
        <f t="shared" ref="D17:L17" si="4">+IFERROR(D8/D6,0)</f>
        <v>0.17334905660377359</v>
      </c>
      <c r="E17" s="16">
        <f t="shared" si="4"/>
        <v>0.19479653102068045</v>
      </c>
      <c r="F17" s="16">
        <f t="shared" si="4"/>
        <v>0.18684281477487194</v>
      </c>
      <c r="G17" s="16">
        <f t="shared" si="4"/>
        <v>0.20334810438207779</v>
      </c>
      <c r="H17" s="95">
        <f t="shared" si="4"/>
        <v>0.19500000000000001</v>
      </c>
      <c r="I17" s="95">
        <f t="shared" si="4"/>
        <v>0.19500000000000001</v>
      </c>
      <c r="J17" s="95">
        <f t="shared" si="4"/>
        <v>0.19500000000000001</v>
      </c>
      <c r="K17" s="95">
        <f t="shared" si="4"/>
        <v>0.19500000000000001</v>
      </c>
      <c r="L17" s="95">
        <f t="shared" si="4"/>
        <v>0.19500000000000001</v>
      </c>
    </row>
  </sheetData>
  <mergeCells count="1">
    <mergeCell ref="B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2F72-D634-4D42-8670-AD933208213E}">
  <dimension ref="B2:L24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8" sqref="G18"/>
    </sheetView>
  </sheetViews>
  <sheetFormatPr defaultRowHeight="15" x14ac:dyDescent="0.25"/>
  <cols>
    <col min="1" max="1" width="1.85546875" customWidth="1"/>
    <col min="2" max="2" width="33.140625" bestFit="1" customWidth="1"/>
    <col min="3" max="12" width="12.140625" customWidth="1"/>
  </cols>
  <sheetData>
    <row r="2" spans="2:12" ht="21" x14ac:dyDescent="0.25">
      <c r="B2" s="148" t="str">
        <f>"Working Capital Schedule - "&amp;'Data Sheet'!B1</f>
        <v>Working Capital Schedule - TITAN COMPANY LTD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2:12" x14ac:dyDescent="0.25">
      <c r="B3" s="9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</row>
    <row r="4" spans="2:12" x14ac:dyDescent="0.25">
      <c r="B4" s="146" t="s">
        <v>303</v>
      </c>
    </row>
    <row r="5" spans="2:12" x14ac:dyDescent="0.25">
      <c r="B5" s="13" t="s">
        <v>224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2:12" x14ac:dyDescent="0.25">
      <c r="B6" s="21" t="s">
        <v>44</v>
      </c>
      <c r="C6" s="78">
        <f>IFERROR(Forcasting!C66,0)</f>
        <v>565</v>
      </c>
      <c r="D6" s="78">
        <f>IFERROR(Forcasting!D66,0)</f>
        <v>674</v>
      </c>
      <c r="E6" s="78">
        <f>IFERROR(Forcasting!E66,0)</f>
        <v>1018</v>
      </c>
      <c r="F6" s="78">
        <f>IFERROR(Forcasting!F66,0)</f>
        <v>1068</v>
      </c>
      <c r="G6" s="78">
        <f>IFERROR(Forcasting!G66,0)</f>
        <v>916</v>
      </c>
      <c r="H6" s="109">
        <f>IFERROR(Assumptions!C22/365*Forcasting!H6,0)</f>
        <v>1756.479123287671</v>
      </c>
      <c r="I6" s="109">
        <f>IFERROR(Assumptions!D22/365*Forcasting!I6,0)</f>
        <v>2055.080574246575</v>
      </c>
      <c r="J6" s="109">
        <f>IFERROR(Assumptions!E22/365*Forcasting!J6,0)</f>
        <v>2363.342660383561</v>
      </c>
      <c r="K6" s="109">
        <f>IFERROR(Assumptions!F22/365*Forcasting!K6,0)</f>
        <v>2694.2106328372597</v>
      </c>
      <c r="L6" s="109">
        <f>IFERROR(Assumptions!G22/365*Forcasting!L6,0)</f>
        <v>3044.4580151061032</v>
      </c>
    </row>
    <row r="7" spans="2:12" x14ac:dyDescent="0.25">
      <c r="B7" s="21" t="s">
        <v>30</v>
      </c>
      <c r="C7" s="78">
        <f>IFERROR(Forcasting!C67,0)</f>
        <v>13609</v>
      </c>
      <c r="D7" s="78">
        <f>IFERROR(Forcasting!D67,0)</f>
        <v>16584</v>
      </c>
      <c r="E7" s="78">
        <f>IFERROR(Forcasting!E67,0)</f>
        <v>19051</v>
      </c>
      <c r="F7" s="78">
        <f>IFERROR(Forcasting!F67,0)</f>
        <v>28184</v>
      </c>
      <c r="G7" s="78">
        <f>IFERROR(Forcasting!G67,0)</f>
        <v>42743</v>
      </c>
      <c r="H7" s="109">
        <f>IFERROR(Assumptions!C21/365*Forcasting!H9,0)</f>
        <v>46810.168635616435</v>
      </c>
      <c r="I7" s="109">
        <f>IFERROR(Assumptions!D21/365*Forcasting!I9,0)</f>
        <v>54099.996117041097</v>
      </c>
      <c r="J7" s="109">
        <f>IFERROR(Assumptions!E21/365*Forcasting!J9,0)</f>
        <v>61830.952352284927</v>
      </c>
      <c r="K7" s="109">
        <f>IFERROR(Assumptions!F21/365*Forcasting!K9,0)</f>
        <v>70487.285681604815</v>
      </c>
      <c r="L7" s="109">
        <f>IFERROR(Assumptions!G21/365*Forcasting!L9,0)</f>
        <v>79155.908392758705</v>
      </c>
    </row>
    <row r="8" spans="2:12" x14ac:dyDescent="0.25">
      <c r="B8" s="23" t="s">
        <v>225</v>
      </c>
      <c r="C8" s="78">
        <f>IFERROR(Forcasting!C63,0)</f>
        <v>2518</v>
      </c>
      <c r="D8" s="78">
        <f>IFERROR(Forcasting!D63,0)</f>
        <v>2762</v>
      </c>
      <c r="E8" s="78">
        <f>IFERROR(Forcasting!E63,0)</f>
        <v>3801</v>
      </c>
      <c r="F8" s="78">
        <f>IFERROR(Forcasting!F63,0)</f>
        <v>3654</v>
      </c>
      <c r="G8" s="78">
        <f>IFERROR(Forcasting!G63,0)</f>
        <v>4438</v>
      </c>
      <c r="H8" s="109">
        <f>IFERROR(Forcasting!H6*Assumptions!C25,0)</f>
        <v>5342.6239999999998</v>
      </c>
      <c r="I8" s="109">
        <f>IFERROR(Forcasting!I6*Assumptions!D25,0)</f>
        <v>6250.8700799999997</v>
      </c>
      <c r="J8" s="109">
        <f>IFERROR(Forcasting!J6*Assumptions!E25,0)</f>
        <v>7188.5005919999985</v>
      </c>
      <c r="K8" s="109">
        <f>IFERROR(Forcasting!K6*Assumptions!F25,0)</f>
        <v>8194.8906748799982</v>
      </c>
      <c r="L8" s="109">
        <f>IFERROR(Forcasting!L6*Assumptions!G25,0)</f>
        <v>9260.2264626143988</v>
      </c>
    </row>
    <row r="9" spans="2:12" x14ac:dyDescent="0.25">
      <c r="B9" s="84" t="s">
        <v>226</v>
      </c>
      <c r="C9" s="104">
        <f>IFERROR(SUM(C6:C8),0)</f>
        <v>16692</v>
      </c>
      <c r="D9" s="104">
        <f t="shared" ref="D9:L9" si="1">IFERROR(SUM(D6:D8),0)</f>
        <v>20020</v>
      </c>
      <c r="E9" s="104">
        <f t="shared" si="1"/>
        <v>23870</v>
      </c>
      <c r="F9" s="104">
        <f t="shared" si="1"/>
        <v>32906</v>
      </c>
      <c r="G9" s="104">
        <f t="shared" si="1"/>
        <v>48097</v>
      </c>
      <c r="H9" s="110">
        <f t="shared" si="1"/>
        <v>53909.271758904113</v>
      </c>
      <c r="I9" s="110">
        <f t="shared" si="1"/>
        <v>62405.946771287672</v>
      </c>
      <c r="J9" s="110">
        <f t="shared" si="1"/>
        <v>71382.795604668485</v>
      </c>
      <c r="K9" s="110">
        <f t="shared" si="1"/>
        <v>81376.386989322069</v>
      </c>
      <c r="L9" s="110">
        <f t="shared" si="1"/>
        <v>91460.592870479217</v>
      </c>
    </row>
    <row r="11" spans="2:12" x14ac:dyDescent="0.25">
      <c r="B11" s="13" t="s">
        <v>227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2:12" x14ac:dyDescent="0.25">
      <c r="B12" s="106" t="s">
        <v>239</v>
      </c>
      <c r="C12" s="78">
        <f>IFERROR(Forcasting!C55,0)</f>
        <v>1294</v>
      </c>
      <c r="D12" s="78">
        <f>IFERROR(Forcasting!D55,0)</f>
        <v>1214</v>
      </c>
      <c r="E12" s="78">
        <f>IFERROR(Forcasting!E55,0)</f>
        <v>1410</v>
      </c>
      <c r="F12" s="78">
        <f>IFERROR(Forcasting!F55,0)</f>
        <v>1963</v>
      </c>
      <c r="G12" s="78">
        <f>IFERROR(Forcasting!G55,0)</f>
        <v>2864</v>
      </c>
      <c r="H12" s="109">
        <f>IFERROR(Assumptions!C23/365*Forcasting!H9,0)</f>
        <v>3600.7822027397256</v>
      </c>
      <c r="I12" s="109">
        <f>IFERROR(Assumptions!D23/365*Forcasting!I9,0)</f>
        <v>4161.5381628493151</v>
      </c>
      <c r="J12" s="109">
        <f>IFERROR(Assumptions!E23/365*Forcasting!J9,0)</f>
        <v>4756.2271040219166</v>
      </c>
      <c r="K12" s="109">
        <f>IFERROR(Assumptions!F23/365*Forcasting!K9,0)</f>
        <v>5422.0988985849845</v>
      </c>
      <c r="L12" s="109">
        <f>IFERROR(Assumptions!G23/365*Forcasting!L9,0)</f>
        <v>6088.9160302122073</v>
      </c>
    </row>
    <row r="13" spans="2:12" x14ac:dyDescent="0.25">
      <c r="B13" s="106" t="s">
        <v>240</v>
      </c>
      <c r="C13" s="78">
        <f>IFERROR(Forcasting!C56,0)</f>
        <v>532</v>
      </c>
      <c r="D13" s="78">
        <f>IFERROR(Forcasting!D56,0)</f>
        <v>718</v>
      </c>
      <c r="E13" s="78">
        <f>IFERROR(Forcasting!E56,0)</f>
        <v>1085</v>
      </c>
      <c r="F13" s="78">
        <f>IFERROR(Forcasting!F56,0)</f>
        <v>2140</v>
      </c>
      <c r="G13" s="78">
        <f>IFERROR(Forcasting!G56,0)</f>
        <v>4745</v>
      </c>
      <c r="H13" s="109">
        <f>IFERROR(Forcasting!H6*Assumptions!C24,0)</f>
        <v>4274.0991999999997</v>
      </c>
      <c r="I13" s="109">
        <f>IFERROR(Forcasting!I6*Assumptions!D24,0)</f>
        <v>5000.6960639999998</v>
      </c>
      <c r="J13" s="109">
        <f>IFERROR(Forcasting!J6*Assumptions!E24,0)</f>
        <v>5750.8004735999984</v>
      </c>
      <c r="K13" s="109">
        <f>IFERROR(Forcasting!K6*Assumptions!F24,0)</f>
        <v>6555.9125399039985</v>
      </c>
      <c r="L13" s="109">
        <f>IFERROR(Forcasting!L6*Assumptions!G24,0)</f>
        <v>7408.1811700915187</v>
      </c>
    </row>
    <row r="14" spans="2:12" x14ac:dyDescent="0.25">
      <c r="B14" s="106" t="s">
        <v>241</v>
      </c>
      <c r="C14" s="78">
        <f>IFERROR(Forcasting!C57,0)</f>
        <v>2754</v>
      </c>
      <c r="D14" s="78">
        <f>IFERROR(Forcasting!D57,0)</f>
        <v>3817</v>
      </c>
      <c r="E14" s="78">
        <f>IFERROR(Forcasting!E57,0)</f>
        <v>4131</v>
      </c>
      <c r="F14" s="78">
        <f>IFERROR(Forcasting!F57,0)</f>
        <v>4141</v>
      </c>
      <c r="G14" s="78">
        <f>IFERROR(Forcasting!G57,0)</f>
        <v>6628</v>
      </c>
      <c r="H14" s="109">
        <f>IFERROR(Forcasting!H6*Assumptions!C26,0)</f>
        <v>8548.1983999999993</v>
      </c>
      <c r="I14" s="109">
        <f>IFERROR(Forcasting!I6*Assumptions!D26,0)</f>
        <v>10001.392128</v>
      </c>
      <c r="J14" s="109">
        <f>IFERROR(Forcasting!J6*Assumptions!E26,0)</f>
        <v>11501.600947199997</v>
      </c>
      <c r="K14" s="109">
        <f>IFERROR(Forcasting!K6*Assumptions!F26,0)</f>
        <v>13111.825079807997</v>
      </c>
      <c r="L14" s="109">
        <f>IFERROR(Forcasting!L6*Assumptions!G26,0)</f>
        <v>14816.362340183037</v>
      </c>
    </row>
    <row r="15" spans="2:12" x14ac:dyDescent="0.25">
      <c r="B15" s="84" t="s">
        <v>228</v>
      </c>
      <c r="C15" s="104">
        <f>IFERROR(SUM(C12:C14),0)</f>
        <v>4580</v>
      </c>
      <c r="D15" s="104">
        <f t="shared" ref="D15:L15" si="2">IFERROR(SUM(D12:D14),0)</f>
        <v>5749</v>
      </c>
      <c r="E15" s="104">
        <f t="shared" si="2"/>
        <v>6626</v>
      </c>
      <c r="F15" s="104">
        <f t="shared" si="2"/>
        <v>8244</v>
      </c>
      <c r="G15" s="104">
        <f t="shared" si="2"/>
        <v>14237</v>
      </c>
      <c r="H15" s="110">
        <f t="shared" si="2"/>
        <v>16423.079802739725</v>
      </c>
      <c r="I15" s="110">
        <f t="shared" si="2"/>
        <v>19163.626354849315</v>
      </c>
      <c r="J15" s="110">
        <f t="shared" si="2"/>
        <v>22008.628524821914</v>
      </c>
      <c r="K15" s="110">
        <f t="shared" si="2"/>
        <v>25089.836518296979</v>
      </c>
      <c r="L15" s="110">
        <f t="shared" si="2"/>
        <v>28313.459540486765</v>
      </c>
    </row>
    <row r="17" spans="2:12" x14ac:dyDescent="0.25">
      <c r="B17" s="84" t="s">
        <v>229</v>
      </c>
      <c r="C17" s="104">
        <f t="shared" ref="C17:L17" si="3">IFERROR(C7+C6-C12,0)</f>
        <v>12880</v>
      </c>
      <c r="D17" s="104">
        <f t="shared" si="3"/>
        <v>16044</v>
      </c>
      <c r="E17" s="104">
        <f t="shared" si="3"/>
        <v>18659</v>
      </c>
      <c r="F17" s="104">
        <f>IFERROR(F7+F6-F12,0)</f>
        <v>27289</v>
      </c>
      <c r="G17" s="104">
        <f>IFERROR(G7+G6-G12,0)</f>
        <v>40795</v>
      </c>
      <c r="H17" s="110">
        <f>IFERROR(H7+H6-H12,0)</f>
        <v>44965.865556164383</v>
      </c>
      <c r="I17" s="110">
        <f>IFERROR(I7+I6-I12,0)</f>
        <v>51993.538528438359</v>
      </c>
      <c r="J17" s="110">
        <f t="shared" si="3"/>
        <v>59438.067908646568</v>
      </c>
      <c r="K17" s="110">
        <f t="shared" si="3"/>
        <v>67759.397415857093</v>
      </c>
      <c r="L17" s="110">
        <f t="shared" si="3"/>
        <v>76111.450377652611</v>
      </c>
    </row>
    <row r="18" spans="2:12" x14ac:dyDescent="0.25">
      <c r="B18" t="s">
        <v>230</v>
      </c>
      <c r="C18" s="103"/>
      <c r="D18" s="103">
        <f>IFERROR(C17-D17,0)</f>
        <v>-3164</v>
      </c>
      <c r="E18" s="103">
        <f t="shared" ref="E18:L18" si="4">IFERROR(D17-E17,0)</f>
        <v>-2615</v>
      </c>
      <c r="F18" s="103">
        <f t="shared" si="4"/>
        <v>-8630</v>
      </c>
      <c r="G18" s="103">
        <f t="shared" si="4"/>
        <v>-13506</v>
      </c>
      <c r="H18" s="109">
        <f t="shared" si="4"/>
        <v>-4170.8655561643827</v>
      </c>
      <c r="I18" s="109">
        <f t="shared" si="4"/>
        <v>-7027.6729722739765</v>
      </c>
      <c r="J18" s="109">
        <f t="shared" si="4"/>
        <v>-7444.5293802082087</v>
      </c>
      <c r="K18" s="109">
        <f t="shared" si="4"/>
        <v>-8321.3295072105248</v>
      </c>
      <c r="L18" s="109">
        <f t="shared" si="4"/>
        <v>-8352.0529617955181</v>
      </c>
    </row>
    <row r="19" spans="2:12" x14ac:dyDescent="0.25">
      <c r="B19" s="105" t="s">
        <v>231</v>
      </c>
      <c r="C19" s="16">
        <f>IFERROR(C17/Forcasting!C6,0)</f>
        <v>0.44723775131080939</v>
      </c>
      <c r="D19" s="16">
        <f>IFERROR(D17/Forcasting!D6,0)</f>
        <v>0.3954158964879852</v>
      </c>
      <c r="E19" s="16">
        <f>IFERROR(E17/Forcasting!E6,0)</f>
        <v>0.36526113851695247</v>
      </c>
      <c r="F19" s="16">
        <f>IFERROR(F17/Forcasting!F6,0)</f>
        <v>0.45138613206298794</v>
      </c>
      <c r="G19" s="16">
        <f>IFERROR(G17/Forcasting!G6,0)</f>
        <v>0.46578142126415784</v>
      </c>
      <c r="H19" s="95">
        <f>IFERROR(H17/Forcasting!H6,0)</f>
        <v>0.4208219178082192</v>
      </c>
      <c r="I19" s="95">
        <f>IFERROR(I17/Forcasting!I6,0)</f>
        <v>0.41589041095890417</v>
      </c>
      <c r="J19" s="95">
        <f>IFERROR(J17/Forcasting!J6,0)</f>
        <v>0.41342465753424662</v>
      </c>
      <c r="K19" s="95">
        <f>IFERROR(K17/Forcasting!K6,0)</f>
        <v>0.41342465753424662</v>
      </c>
      <c r="L19" s="95">
        <f>IFERROR(L17/Forcasting!L6,0)</f>
        <v>0.41095890410958918</v>
      </c>
    </row>
    <row r="21" spans="2:12" x14ac:dyDescent="0.25">
      <c r="B21" s="13" t="s">
        <v>232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2" x14ac:dyDescent="0.25">
      <c r="B22" s="21" t="s">
        <v>207</v>
      </c>
      <c r="C22" s="36">
        <f>IFERROR(C7/Forcasting!C$9*365,0)</f>
        <v>213.87664155005382</v>
      </c>
      <c r="D22" s="36">
        <f>IFERROR(D7/Forcasting!D$9*365,0)</f>
        <v>187.43334881560611</v>
      </c>
      <c r="E22" s="36">
        <f>IFERROR(E7/Forcasting!E$9*365,0)</f>
        <v>166.89744143625194</v>
      </c>
      <c r="F22" s="36">
        <f>IFERROR(F7/Forcasting!F$9*365,0)</f>
        <v>205.64449064449065</v>
      </c>
      <c r="G22" s="36">
        <f>IFERROR(G7/Forcasting!G$9*365,0)</f>
        <v>212.37384462503914</v>
      </c>
      <c r="H22" s="111">
        <f>IFERROR(H7/Forcasting!H$9*365,0)</f>
        <v>195</v>
      </c>
      <c r="I22" s="111">
        <f>IFERROR(I7/Forcasting!I$9*365,0)</f>
        <v>195</v>
      </c>
      <c r="J22" s="111">
        <f>IFERROR(J7/Forcasting!J$9*365,0)</f>
        <v>195</v>
      </c>
      <c r="K22" s="111">
        <f>IFERROR(K7/Forcasting!K$9*365,0)</f>
        <v>195</v>
      </c>
      <c r="L22" s="111">
        <f>IFERROR(L7/Forcasting!L$9*365,0)</f>
        <v>195</v>
      </c>
    </row>
    <row r="23" spans="2:12" x14ac:dyDescent="0.25">
      <c r="B23" s="21" t="s">
        <v>208</v>
      </c>
      <c r="C23" s="36">
        <f>IFERROR(C6/Forcasting!C$6*365,0)</f>
        <v>7.160838918017987</v>
      </c>
      <c r="D23" s="36">
        <f>IFERROR(D6/Forcasting!D$6*365,0)</f>
        <v>6.0630930375847196</v>
      </c>
      <c r="E23" s="36">
        <f>IFERROR(E6/Forcasting!E$6*365,0)</f>
        <v>7.2737060527758199</v>
      </c>
      <c r="F23" s="36">
        <f>IFERROR(F6/Forcasting!F$6*365,0)</f>
        <v>6.4479952362048429</v>
      </c>
      <c r="G23" s="36">
        <f>IFERROR(G6/Forcasting!G$6*365,0)</f>
        <v>3.8173639020825725</v>
      </c>
      <c r="H23" s="111">
        <f>IFERROR(H6/Forcasting!H$6*365,0)</f>
        <v>5.9999999999999991</v>
      </c>
      <c r="I23" s="111">
        <f>IFERROR(I6/Forcasting!I$6*365,0)</f>
        <v>5.9999999999999991</v>
      </c>
      <c r="J23" s="111">
        <f>IFERROR(J6/Forcasting!J$6*365,0)</f>
        <v>5.9999999999999991</v>
      </c>
      <c r="K23" s="111">
        <f>IFERROR(K6/Forcasting!K$6*365,0)</f>
        <v>5.9999999999999991</v>
      </c>
      <c r="L23" s="111">
        <f>IFERROR(L6/Forcasting!L$6*365,0)</f>
        <v>5.9999999999999991</v>
      </c>
    </row>
    <row r="24" spans="2:12" x14ac:dyDescent="0.25">
      <c r="B24" s="21" t="s">
        <v>209</v>
      </c>
      <c r="C24" s="36">
        <f>IFERROR(C12/Forcasting!C9*365,0)</f>
        <v>20.336275565123788</v>
      </c>
      <c r="D24" s="36">
        <f>IFERROR(D12/Forcasting!D9*365,0)</f>
        <v>13.720699798730452</v>
      </c>
      <c r="E24" s="36">
        <f>IFERROR(E12/Forcasting!E9*365,0)</f>
        <v>12.352390552995393</v>
      </c>
      <c r="F24" s="36">
        <f>IFERROR(F12/Forcasting!F9*365,0)</f>
        <v>14.323024948024949</v>
      </c>
      <c r="G24" s="36">
        <f>IFERROR(G12/Forcasting!G9*365,0)</f>
        <v>14.230135718272281</v>
      </c>
      <c r="H24" s="111">
        <f>IFERROR(H12/Forcasting!H9*365,0)</f>
        <v>15</v>
      </c>
      <c r="I24" s="111">
        <f>IFERROR(I12/Forcasting!I9*365,0)</f>
        <v>15</v>
      </c>
      <c r="J24" s="111">
        <f>IFERROR(J12/Forcasting!J9*365,0)</f>
        <v>15</v>
      </c>
      <c r="K24" s="111">
        <f>IFERROR(K12/Forcasting!K9*365,0)</f>
        <v>15</v>
      </c>
      <c r="L24" s="111">
        <f>IFERROR(L12/Forcasting!L9*365,0)</f>
        <v>15</v>
      </c>
    </row>
  </sheetData>
  <mergeCells count="1">
    <mergeCell ref="B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F1B2-702E-41A3-9140-228D8BD72D88}">
  <dimension ref="B2:N3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" x14ac:dyDescent="0.25"/>
  <cols>
    <col min="1" max="1" width="1.85546875" customWidth="1"/>
    <col min="2" max="2" width="37.140625" bestFit="1" customWidth="1"/>
    <col min="3" max="12" width="12.5703125" customWidth="1"/>
  </cols>
  <sheetData>
    <row r="2" spans="2:12" ht="21" x14ac:dyDescent="0.25">
      <c r="B2" s="148" t="str">
        <f>"Debt &amp; Interest Schedule - "&amp;'Data Sheet'!B1</f>
        <v>Debt &amp; Interest Schedule - TITAN COMPANY LTD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2:12" x14ac:dyDescent="0.25">
      <c r="B3" s="9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</row>
    <row r="4" spans="2:12" x14ac:dyDescent="0.25">
      <c r="B4" s="146" t="s">
        <v>303</v>
      </c>
    </row>
    <row r="5" spans="2:12" x14ac:dyDescent="0.25">
      <c r="B5" s="13" t="s">
        <v>242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2:12" x14ac:dyDescent="0.25">
      <c r="B6" t="s">
        <v>243</v>
      </c>
      <c r="C6" s="78">
        <f>IFERROR('Historical FS'!G52,0)</f>
        <v>5638</v>
      </c>
      <c r="D6" s="103">
        <f>IFERROR(C8,0)</f>
        <v>7275</v>
      </c>
      <c r="E6" s="103">
        <f t="shared" ref="E6:L6" si="1">IFERROR(D8,0)</f>
        <v>9367</v>
      </c>
      <c r="F6" s="103">
        <f t="shared" si="1"/>
        <v>15528</v>
      </c>
      <c r="G6" s="103">
        <f t="shared" si="1"/>
        <v>20777</v>
      </c>
      <c r="H6" s="109">
        <f t="shared" si="1"/>
        <v>30621</v>
      </c>
      <c r="I6" s="109">
        <f t="shared" si="1"/>
        <v>36132.78</v>
      </c>
      <c r="J6" s="109">
        <f t="shared" si="1"/>
        <v>41552.696999999993</v>
      </c>
      <c r="K6" s="109">
        <f t="shared" si="1"/>
        <v>46954.547609999987</v>
      </c>
      <c r="L6" s="109">
        <f t="shared" si="1"/>
        <v>52119.547847099988</v>
      </c>
    </row>
    <row r="7" spans="2:12" x14ac:dyDescent="0.25">
      <c r="B7" t="s">
        <v>244</v>
      </c>
      <c r="C7" s="103">
        <f>IFERROR(C8-C6,0)</f>
        <v>1637</v>
      </c>
      <c r="D7" s="103">
        <f t="shared" ref="D7:L7" si="2">IFERROR(D8-D6,0)</f>
        <v>2092</v>
      </c>
      <c r="E7" s="103">
        <f t="shared" si="2"/>
        <v>6161</v>
      </c>
      <c r="F7" s="103">
        <f t="shared" si="2"/>
        <v>5249</v>
      </c>
      <c r="G7" s="103">
        <f t="shared" si="2"/>
        <v>9844</v>
      </c>
      <c r="H7" s="109">
        <f t="shared" si="2"/>
        <v>5511.7799999999988</v>
      </c>
      <c r="I7" s="109">
        <f t="shared" si="2"/>
        <v>5419.916999999994</v>
      </c>
      <c r="J7" s="109">
        <f t="shared" si="2"/>
        <v>5401.850609999994</v>
      </c>
      <c r="K7" s="109">
        <f t="shared" si="2"/>
        <v>5165.000237100001</v>
      </c>
      <c r="L7" s="109">
        <f t="shared" si="2"/>
        <v>4690.7593062390006</v>
      </c>
    </row>
    <row r="8" spans="2:12" x14ac:dyDescent="0.25">
      <c r="B8" s="84" t="s">
        <v>245</v>
      </c>
      <c r="C8" s="92">
        <f>IFERROR(Forcasting!C52,0)</f>
        <v>7275</v>
      </c>
      <c r="D8" s="92">
        <f>IFERROR(Forcasting!D52,0)</f>
        <v>9367</v>
      </c>
      <c r="E8" s="92">
        <f>IFERROR(Forcasting!E52,0)</f>
        <v>15528</v>
      </c>
      <c r="F8" s="92">
        <f>IFERROR(Forcasting!F52,0)</f>
        <v>20777</v>
      </c>
      <c r="G8" s="92">
        <f>IFERROR(Forcasting!G52,0)</f>
        <v>30621</v>
      </c>
      <c r="H8" s="110">
        <f>IFERROR(H6*(1+Assumptions!C30),0)</f>
        <v>36132.78</v>
      </c>
      <c r="I8" s="110">
        <f>IFERROR(I6*(1+Assumptions!D30),0)</f>
        <v>41552.696999999993</v>
      </c>
      <c r="J8" s="110">
        <f>IFERROR(J6*(1+Assumptions!E30),0)</f>
        <v>46954.547609999987</v>
      </c>
      <c r="K8" s="110">
        <f>IFERROR(K6*(1+Assumptions!F30),0)</f>
        <v>52119.547847099988</v>
      </c>
      <c r="L8" s="110">
        <f>IFERROR(L6*(1+Assumptions!G30),0)</f>
        <v>56810.307153338988</v>
      </c>
    </row>
    <row r="10" spans="2:12" x14ac:dyDescent="0.25">
      <c r="B10" s="13" t="s">
        <v>246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2:12" x14ac:dyDescent="0.25">
      <c r="B11" t="s">
        <v>247</v>
      </c>
      <c r="C11" s="103">
        <f>IFERROR((C6+C8)/2,0)</f>
        <v>6456.5</v>
      </c>
      <c r="D11" s="103">
        <f t="shared" ref="D11:L11" si="3">IFERROR((D6+D8)/2,0)</f>
        <v>8321</v>
      </c>
      <c r="E11" s="103">
        <f t="shared" si="3"/>
        <v>12447.5</v>
      </c>
      <c r="F11" s="103">
        <f t="shared" si="3"/>
        <v>18152.5</v>
      </c>
      <c r="G11" s="103">
        <f t="shared" si="3"/>
        <v>25699</v>
      </c>
      <c r="H11" s="109">
        <f t="shared" si="3"/>
        <v>33376.89</v>
      </c>
      <c r="I11" s="109">
        <f t="shared" si="3"/>
        <v>38842.738499999992</v>
      </c>
      <c r="J11" s="109">
        <f t="shared" si="3"/>
        <v>44253.62230499999</v>
      </c>
      <c r="K11" s="109">
        <f t="shared" si="3"/>
        <v>49537.047728549987</v>
      </c>
      <c r="L11" s="109">
        <f t="shared" si="3"/>
        <v>54464.927500219492</v>
      </c>
    </row>
    <row r="12" spans="2:12" x14ac:dyDescent="0.25">
      <c r="B12" s="105" t="s">
        <v>212</v>
      </c>
      <c r="C12" s="16">
        <f>IFERROR(C13/C11,0)</f>
        <v>3.3764423449237205E-2</v>
      </c>
      <c r="D12" s="16">
        <f t="shared" ref="D12:G12" si="4">IFERROR(D13/D11,0)</f>
        <v>3.605335897127749E-2</v>
      </c>
      <c r="E12" s="16">
        <f t="shared" si="4"/>
        <v>4.9728861217111869E-2</v>
      </c>
      <c r="F12" s="16">
        <f t="shared" si="4"/>
        <v>5.2499655694807877E-2</v>
      </c>
      <c r="G12" s="16">
        <f t="shared" si="4"/>
        <v>4.5916183509085953E-2</v>
      </c>
      <c r="H12" s="95">
        <f>IFERROR(Assumptions!C29,0)</f>
        <v>0.04</v>
      </c>
      <c r="I12" s="95">
        <f>IFERROR(Assumptions!D29,0)</f>
        <v>0.04</v>
      </c>
      <c r="J12" s="95">
        <f>IFERROR(Assumptions!E29,0)</f>
        <v>0.04</v>
      </c>
      <c r="K12" s="95">
        <f>IFERROR(Assumptions!F29,0)</f>
        <v>0.04</v>
      </c>
      <c r="L12" s="95">
        <f>IFERROR(Assumptions!G29,0)</f>
        <v>0.04</v>
      </c>
    </row>
    <row r="13" spans="2:12" x14ac:dyDescent="0.25">
      <c r="B13" s="84" t="s">
        <v>246</v>
      </c>
      <c r="C13" s="92">
        <f>IFERROR(Forcasting!C24,0)</f>
        <v>218</v>
      </c>
      <c r="D13" s="92">
        <f>IFERROR(Forcasting!D24,0)</f>
        <v>300</v>
      </c>
      <c r="E13" s="92">
        <f>IFERROR(Forcasting!E24,0)</f>
        <v>619</v>
      </c>
      <c r="F13" s="92">
        <f>IFERROR(Forcasting!F24,0)</f>
        <v>953</v>
      </c>
      <c r="G13" s="92">
        <f>IFERROR(Forcasting!G24,0)</f>
        <v>1180</v>
      </c>
      <c r="H13" s="110">
        <f>IFERROR(H11*H12,0)</f>
        <v>1335.0755999999999</v>
      </c>
      <c r="I13" s="110">
        <f t="shared" ref="I13:L13" si="5">IFERROR(I11*I12,0)</f>
        <v>1553.7095399999998</v>
      </c>
      <c r="J13" s="110">
        <f t="shared" si="5"/>
        <v>1770.1448921999997</v>
      </c>
      <c r="K13" s="110">
        <f t="shared" si="5"/>
        <v>1981.4819091419995</v>
      </c>
      <c r="L13" s="110">
        <f t="shared" si="5"/>
        <v>2178.5971000087798</v>
      </c>
    </row>
    <row r="15" spans="2:12" x14ac:dyDescent="0.25">
      <c r="B15" s="13" t="s">
        <v>222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2:12" x14ac:dyDescent="0.25">
      <c r="B16" s="105" t="s">
        <v>213</v>
      </c>
      <c r="C16" s="16">
        <f>IFERROR((C8/C6-1),0)</f>
        <v>0.29035118836466833</v>
      </c>
      <c r="D16" s="16">
        <f t="shared" ref="D16:L16" si="6">IFERROR((D8/D6-1),0)</f>
        <v>0.28756013745704467</v>
      </c>
      <c r="E16" s="16">
        <f t="shared" si="6"/>
        <v>0.65773460019216401</v>
      </c>
      <c r="F16" s="16">
        <f t="shared" si="6"/>
        <v>0.33803451828954145</v>
      </c>
      <c r="G16" s="16">
        <f t="shared" si="6"/>
        <v>0.47379313664147849</v>
      </c>
      <c r="H16" s="95">
        <f>IFERROR((H8/H6-1),0)</f>
        <v>0.17999999999999994</v>
      </c>
      <c r="I16" s="95">
        <f t="shared" si="6"/>
        <v>0.14999999999999991</v>
      </c>
      <c r="J16" s="95">
        <f t="shared" si="6"/>
        <v>0.12999999999999989</v>
      </c>
      <c r="K16" s="95">
        <f t="shared" si="6"/>
        <v>0.1100000000000001</v>
      </c>
      <c r="L16" s="95">
        <f t="shared" si="6"/>
        <v>9.000000000000008E-2</v>
      </c>
    </row>
    <row r="30" spans="4:14" ht="21" x14ac:dyDescent="0.25"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</row>
  </sheetData>
  <mergeCells count="2">
    <mergeCell ref="B2:L2"/>
    <mergeCell ref="D30:N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5704-1BEA-4961-A0A9-1087EE07FE1A}">
  <dimension ref="B2:O4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O2"/>
    </sheetView>
  </sheetViews>
  <sheetFormatPr defaultRowHeight="15" x14ac:dyDescent="0.25"/>
  <cols>
    <col min="1" max="1" width="2.28515625" customWidth="1"/>
    <col min="2" max="2" width="26.140625" bestFit="1" customWidth="1"/>
    <col min="3" max="12" width="11.5703125" customWidth="1"/>
    <col min="13" max="13" width="17.42578125" customWidth="1"/>
    <col min="14" max="15" width="9.140625" customWidth="1"/>
  </cols>
  <sheetData>
    <row r="2" spans="2:15" ht="21" x14ac:dyDescent="0.25">
      <c r="B2" s="148" t="str">
        <f>" Ratio Analysis of -  " &amp;  'Data Sheet'!B1</f>
        <v xml:space="preserve"> Ratio Analysis of -  TITAN COMPANY LTD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2:15" x14ac:dyDescent="0.25">
      <c r="B3" s="9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  <c r="M3" s="10" t="s">
        <v>151</v>
      </c>
      <c r="N3" s="12" t="s">
        <v>152</v>
      </c>
      <c r="O3" s="12" t="s">
        <v>153</v>
      </c>
    </row>
    <row r="5" spans="2:15" x14ac:dyDescent="0.25">
      <c r="B5" s="27" t="s">
        <v>123</v>
      </c>
      <c r="C5" s="28"/>
      <c r="D5" s="28">
        <f>IFERROR(Forcasting!D7,0)</f>
        <v>0.40890308691274013</v>
      </c>
      <c r="E5" s="28">
        <f>IFERROR(Forcasting!E7,0)</f>
        <v>0.25900184842883545</v>
      </c>
      <c r="F5" s="28">
        <f>IFERROR(Forcasting!F7,0)</f>
        <v>0.18346253229974163</v>
      </c>
      <c r="G5" s="28">
        <f>IFERROR(Forcasting!G7,0)</f>
        <v>0.448723038242689</v>
      </c>
      <c r="H5" s="122">
        <f>IFERROR(Forcasting!H7,0)</f>
        <v>0.22</v>
      </c>
      <c r="I5" s="122">
        <f>IFERROR(Forcasting!I7,0)</f>
        <v>0.17</v>
      </c>
      <c r="J5" s="122">
        <f>IFERROR(Forcasting!J7,0)</f>
        <v>0.15</v>
      </c>
      <c r="K5" s="122">
        <f>IFERROR(Forcasting!K7,0)</f>
        <v>0.14000000000000001</v>
      </c>
      <c r="L5" s="122">
        <f>IFERROR(Forcasting!L7,0)</f>
        <v>0.13</v>
      </c>
      <c r="M5" s="115"/>
      <c r="N5" s="28">
        <f>IFERROR(AVERAGE(D5:L5),0)</f>
        <v>0.23445450065377843</v>
      </c>
      <c r="O5" s="28">
        <f>IFERROR(MEDIAN(D5:L5),0)</f>
        <v>0.18346253229974163</v>
      </c>
    </row>
    <row r="6" spans="2:15" x14ac:dyDescent="0.25">
      <c r="B6" t="s">
        <v>124</v>
      </c>
      <c r="C6" s="29"/>
      <c r="D6" s="29">
        <f>IFERROR((Forcasting!D18/Forcasting!C18-1),0)</f>
        <v>0.45992822966507174</v>
      </c>
      <c r="E6" s="29">
        <f>IFERROR((Forcasting!E18/Forcasting!D18-1),0)</f>
        <v>8.3981974600573439E-2</v>
      </c>
      <c r="F6" s="29">
        <f>IFERROR((Forcasting!F18/Forcasting!E18-1),0)</f>
        <v>7.5963718820861725E-2</v>
      </c>
      <c r="G6" s="29">
        <f>IFERROR((Forcasting!G18/Forcasting!F18-1),0)</f>
        <v>0.46768528275377586</v>
      </c>
      <c r="H6" s="123">
        <f>IFERROR((Forcasting!H18/Forcasting!G18-1),0)</f>
        <v>0.15073868613138708</v>
      </c>
      <c r="I6" s="123">
        <f>IFERROR((Forcasting!I18/Forcasting!H18-1),0)</f>
        <v>0.29999999999999805</v>
      </c>
      <c r="J6" s="123">
        <f>IFERROR((Forcasting!J18/Forcasting!I18-1),0)</f>
        <v>0.20750000000000024</v>
      </c>
      <c r="K6" s="123">
        <f>IFERROR((Forcasting!K18/Forcasting!J18-1),0)</f>
        <v>0.14000000000000123</v>
      </c>
      <c r="L6" s="123">
        <f>IFERROR((Forcasting!L18/Forcasting!K18-1),0)</f>
        <v>0.18380952380952298</v>
      </c>
      <c r="N6" s="29">
        <f>IFERROR(AVERAGE(C6:G6),0)</f>
        <v>0.27188980146007069</v>
      </c>
      <c r="O6" s="29">
        <f>IFERROR(MEDIAN(C6:G6),0)</f>
        <v>0.27195510213282259</v>
      </c>
    </row>
    <row r="7" spans="2:15" x14ac:dyDescent="0.25">
      <c r="B7" t="s">
        <v>149</v>
      </c>
      <c r="C7" s="29"/>
      <c r="D7" s="29">
        <f>IFERROR(Forcasting!D30/Forcasting!C30-1,0)</f>
        <v>0.53133608815426991</v>
      </c>
      <c r="E7" s="29">
        <f>IFERROR(Forcasting!E30/Forcasting!D30-1,0)</f>
        <v>3.9577243085225922E-2</v>
      </c>
      <c r="F7" s="29">
        <f>IFERROR(Forcasting!F30/Forcasting!E30-1,0)</f>
        <v>-1.9035258490157858E-2</v>
      </c>
      <c r="G7" s="29">
        <f>IFERROR(Forcasting!G30/Forcasting!F30-1,0)</f>
        <v>0.49966923925027573</v>
      </c>
      <c r="H7" s="123">
        <f>IFERROR(Forcasting!H30/Forcasting!G30-1,0)</f>
        <v>-5.8053933245110656E-2</v>
      </c>
      <c r="I7" s="123">
        <f>IFERROR(Forcasting!I30/Forcasting!H30-1,0)</f>
        <v>0.3452929844940833</v>
      </c>
      <c r="J7" s="123">
        <f>IFERROR(Forcasting!J30/Forcasting!I30-1,0)</f>
        <v>0.21872236691889446</v>
      </c>
      <c r="K7" s="123">
        <f>IFERROR(Forcasting!K30/Forcasting!J30-1,0)</f>
        <v>0.13049458471117403</v>
      </c>
      <c r="L7" s="123">
        <f>IFERROR(Forcasting!L30/Forcasting!K30-1,0)</f>
        <v>0.20170565345298908</v>
      </c>
      <c r="N7" s="29">
        <f>IFERROR(AVERAGE(C7:G7),0)</f>
        <v>0.26288682799990343</v>
      </c>
      <c r="O7" s="29">
        <f>IFERROR(MEDIAN(C7:G7),0)</f>
        <v>0.26962324116775083</v>
      </c>
    </row>
    <row r="8" spans="2:15" x14ac:dyDescent="0.25">
      <c r="B8" t="s">
        <v>125</v>
      </c>
      <c r="C8" s="29"/>
      <c r="D8" s="29">
        <f>IFERROR(Forcasting!D36/Forcasting!C36-1,0)</f>
        <v>0.48953594176524118</v>
      </c>
      <c r="E8" s="29">
        <f>IFERROR(Forcasting!E36/Forcasting!D36-1,0)</f>
        <v>6.7806963958460642E-2</v>
      </c>
      <c r="F8" s="29">
        <f>IFERROR(Forcasting!F36/Forcasting!E36-1,0)</f>
        <v>-4.5480549199084619E-2</v>
      </c>
      <c r="G8" s="29">
        <f>IFERROR(Forcasting!G36/Forcasting!F36-1,0)</f>
        <v>0.52022774947557693</v>
      </c>
      <c r="H8" s="123">
        <f>IFERROR(Forcasting!H36/Forcasting!G36-1,0)</f>
        <v>-5.5426956514882386E-2</v>
      </c>
      <c r="I8" s="123">
        <f>IFERROR(Forcasting!I36/Forcasting!H36-1,0)</f>
        <v>0.34529298449408352</v>
      </c>
      <c r="J8" s="123">
        <f>IFERROR(Forcasting!J36/Forcasting!I36-1,0)</f>
        <v>0.21872236691889446</v>
      </c>
      <c r="K8" s="123">
        <f>IFERROR(Forcasting!K36/Forcasting!J36-1,0)</f>
        <v>0.13049458471117426</v>
      </c>
      <c r="L8" s="123">
        <f>IFERROR(Forcasting!L36/Forcasting!K36-1,0)</f>
        <v>0.20170565345298885</v>
      </c>
      <c r="N8" s="29">
        <f>IFERROR(AVERAGE(C8:G8),0)</f>
        <v>0.25802252650004853</v>
      </c>
      <c r="O8" s="29">
        <f>IFERROR(MEDIAN(C8:G8),0)</f>
        <v>0.27867145286185091</v>
      </c>
    </row>
    <row r="9" spans="2:15" x14ac:dyDescent="0.25">
      <c r="B9" s="30" t="s">
        <v>126</v>
      </c>
      <c r="C9" s="31"/>
      <c r="D9" s="31">
        <f>IFERROR(Forcasting!D44/Forcasting!C44-1,0)</f>
        <v>0.33333333333333348</v>
      </c>
      <c r="E9" s="31">
        <f>IFERROR(Forcasting!E44/Forcasting!D44-1,0)</f>
        <v>0.10000000000000009</v>
      </c>
      <c r="F9" s="31">
        <f>IFERROR(Forcasting!F44/Forcasting!E44-1,0)</f>
        <v>0</v>
      </c>
      <c r="G9" s="31">
        <f>IFERROR(Forcasting!G44/Forcasting!F44-1,0)</f>
        <v>0.36363636363636354</v>
      </c>
      <c r="H9" s="124">
        <f>IFERROR(Forcasting!H44/Forcasting!G44-1,0)</f>
        <v>5.0414236678173463E-3</v>
      </c>
      <c r="I9" s="124">
        <f>IFERROR(Forcasting!I44/Forcasting!H44-1,0)</f>
        <v>0.3452929844940833</v>
      </c>
      <c r="J9" s="124">
        <f>IFERROR(Forcasting!J44/Forcasting!I44-1,0)</f>
        <v>0.21872236691889468</v>
      </c>
      <c r="K9" s="124">
        <f>IFERROR(Forcasting!K44/Forcasting!J44-1,0)</f>
        <v>0.13049458471117403</v>
      </c>
      <c r="L9" s="124">
        <f>IFERROR(Forcasting!L44/Forcasting!K44-1,0)</f>
        <v>0.20170565345298885</v>
      </c>
      <c r="N9" s="31">
        <f>IFERROR(AVERAGE(C9:G9),0)</f>
        <v>0.19924242424242428</v>
      </c>
      <c r="O9" s="31">
        <f>IFERROR(MEDIAN(C9:G9),0)</f>
        <v>0.21666666666666679</v>
      </c>
    </row>
    <row r="10" spans="2:15" x14ac:dyDescent="0.25">
      <c r="M10" s="114"/>
    </row>
    <row r="11" spans="2:15" x14ac:dyDescent="0.25">
      <c r="B11" s="27" t="s">
        <v>127</v>
      </c>
      <c r="C11" s="28">
        <f>IFERROR(Forcasting!C13,0)</f>
        <v>0.19354838709677419</v>
      </c>
      <c r="D11" s="28">
        <f>IFERROR(Forcasting!D13,0)</f>
        <v>0.20406654343807765</v>
      </c>
      <c r="E11" s="28">
        <f>IFERROR(Forcasting!E13,0)</f>
        <v>0.18440216114634719</v>
      </c>
      <c r="F11" s="28">
        <f>IFERROR(Forcasting!F13,0)</f>
        <v>0.17255524679105466</v>
      </c>
      <c r="G11" s="28">
        <f>IFERROR(Forcasting!G13,0)</f>
        <v>0.16125091340884179</v>
      </c>
      <c r="H11" s="122">
        <f>IFERROR(Forcasting!H13,0)</f>
        <v>0.18000000000000002</v>
      </c>
      <c r="I11" s="122">
        <f>IFERROR(Forcasting!I13,0)</f>
        <v>0.18999999999999989</v>
      </c>
      <c r="J11" s="122">
        <f>IFERROR(Forcasting!J13,0)</f>
        <v>0.19499999999999992</v>
      </c>
      <c r="K11" s="122">
        <f>IFERROR(Forcasting!K13,0)</f>
        <v>0.19500000000000003</v>
      </c>
      <c r="L11" s="122">
        <f>IFERROR(Forcasting!L13,0)</f>
        <v>0.19999999999999993</v>
      </c>
      <c r="N11" s="28">
        <f>IFERROR(AVERAGE(C11:G11),0)</f>
        <v>0.18316465037621912</v>
      </c>
      <c r="O11" s="28">
        <f>IFERROR(MEDIAN(C11:G11),0)</f>
        <v>0.18440216114634719</v>
      </c>
    </row>
    <row r="12" spans="2:15" x14ac:dyDescent="0.25">
      <c r="B12" t="s">
        <v>128</v>
      </c>
      <c r="C12" s="29">
        <f>IFERROR(Forcasting!C19,0)</f>
        <v>0.11611514288690579</v>
      </c>
      <c r="D12" s="29">
        <f>IFERROR(Forcasting!D19,0)</f>
        <v>0.12032039433148491</v>
      </c>
      <c r="E12" s="29">
        <f>IFERROR(Forcasting!E19,0)</f>
        <v>0.10359408033826638</v>
      </c>
      <c r="F12" s="29">
        <f>IFERROR(Forcasting!F19,0)</f>
        <v>9.4184200079396582E-2</v>
      </c>
      <c r="G12" s="29">
        <f>IFERROR(Forcasting!G19,0)</f>
        <v>9.5416971136280601E-2</v>
      </c>
      <c r="H12" s="123">
        <f>IFERROR(Forcasting!H19,0)</f>
        <v>9.0000000000000024E-2</v>
      </c>
      <c r="I12" s="123">
        <f>IFERROR(Forcasting!I19,0)</f>
        <v>9.9999999999999895E-2</v>
      </c>
      <c r="J12" s="123">
        <f>IFERROR(Forcasting!J19,0)</f>
        <v>0.10499999999999991</v>
      </c>
      <c r="K12" s="123">
        <f>IFERROR(Forcasting!K19,0)</f>
        <v>0.10500000000000002</v>
      </c>
      <c r="L12" s="123">
        <f>IFERROR(Forcasting!L19,0)</f>
        <v>0.10999999999999995</v>
      </c>
      <c r="N12" s="29">
        <f>IFERROR(AVERAGE(C12:G12),0)</f>
        <v>0.10592615775446686</v>
      </c>
      <c r="O12" s="29">
        <f>IFERROR(MEDIAN(C12:G12),0)</f>
        <v>0.10359408033826638</v>
      </c>
    </row>
    <row r="13" spans="2:15" x14ac:dyDescent="0.25">
      <c r="B13" t="s">
        <v>129</v>
      </c>
      <c r="C13" s="29">
        <f>IFERROR((Forcasting!C18-Forcasting!C27)/Forcasting!C6,0)</f>
        <v>0.10226049515608181</v>
      </c>
      <c r="D13" s="29">
        <f>IFERROR((Forcasting!D18-Forcasting!D27)/Forcasting!D6,0)</f>
        <v>0.10945163277880468</v>
      </c>
      <c r="E13" s="29">
        <f>IFERROR((Forcasting!E18-Forcasting!E27)/Forcasting!E6,0)</f>
        <v>9.2161929371231702E-2</v>
      </c>
      <c r="F13" s="29">
        <f>IFERROR((Forcasting!F18-Forcasting!F27)/Forcasting!F6,0)</f>
        <v>8.2721317983326714E-2</v>
      </c>
      <c r="G13" s="29">
        <f>IFERROR((Forcasting!G18-Forcasting!G27)/Forcasting!G6,0)</f>
        <v>8.5986024844720496E-2</v>
      </c>
      <c r="H13" s="123">
        <f>IFERROR((Forcasting!H18-Forcasting!H27)/Forcasting!H6,0)</f>
        <v>7.744802179603133E-2</v>
      </c>
      <c r="I13" s="123">
        <f>IFERROR((Forcasting!I18-Forcasting!I27)/Forcasting!I6,0)</f>
        <v>8.6363809868209462E-2</v>
      </c>
      <c r="J13" s="123">
        <f>IFERROR((Forcasting!J18-Forcasting!J27)/Forcasting!J6,0)</f>
        <v>9.0367710386007494E-2</v>
      </c>
      <c r="K13" s="123">
        <f>IFERROR((Forcasting!K18-Forcasting!K27)/Forcasting!K6,0)</f>
        <v>8.9535970930470291E-2</v>
      </c>
      <c r="L13" s="123">
        <f>IFERROR((Forcasting!L18-Forcasting!L27)/Forcasting!L6,0)</f>
        <v>9.3806598760202198E-2</v>
      </c>
      <c r="N13" s="29">
        <f>IFERROR(AVERAGE(C13:G13),0)</f>
        <v>9.4516280026833072E-2</v>
      </c>
      <c r="O13" s="29">
        <f>IFERROR(MEDIAN(C13:G13),0)</f>
        <v>9.2161929371231702E-2</v>
      </c>
    </row>
    <row r="14" spans="2:15" x14ac:dyDescent="0.25">
      <c r="B14" t="s">
        <v>130</v>
      </c>
      <c r="C14" s="29">
        <f>IFERROR(Forcasting!C31,0)</f>
        <v>0.10083683461231292</v>
      </c>
      <c r="D14" s="29">
        <f>IFERROR(Forcasting!D31,0)</f>
        <v>0.10959950708564387</v>
      </c>
      <c r="E14" s="29">
        <f>IFERROR(Forcasting!E31,0)</f>
        <v>9.0498003288700959E-2</v>
      </c>
      <c r="F14" s="29">
        <f>IFERROR(Forcasting!F31,0)</f>
        <v>7.5013232764324464E-2</v>
      </c>
      <c r="G14" s="29">
        <f>IFERROR(Forcasting!G31,0)</f>
        <v>7.7651169163317504E-2</v>
      </c>
      <c r="H14" s="123">
        <f>IFERROR(Forcasting!H31,0)</f>
        <v>5.9953453583856946E-2</v>
      </c>
      <c r="I14" s="123">
        <f>IFERROR(Forcasting!I31,0)</f>
        <v>6.893586367739693E-2</v>
      </c>
      <c r="J14" s="123">
        <f>IFERROR(Forcasting!J31,0)</f>
        <v>7.3055372996969958E-2</v>
      </c>
      <c r="K14" s="123">
        <f>IFERROR(Forcasting!K31,0)</f>
        <v>7.244623119046445E-2</v>
      </c>
      <c r="L14" s="123">
        <f>IFERROR(Forcasting!L31,0)</f>
        <v>7.7043403179595932E-2</v>
      </c>
      <c r="N14" s="29">
        <f>IFERROR(AVERAGE(C14:G14),0)</f>
        <v>9.0719749382859941E-2</v>
      </c>
      <c r="O14" s="29">
        <f>IFERROR(MEDIAN(C14:G14),0)</f>
        <v>9.0498003288700959E-2</v>
      </c>
    </row>
    <row r="15" spans="2:15" x14ac:dyDescent="0.25">
      <c r="B15" s="30" t="s">
        <v>131</v>
      </c>
      <c r="C15" s="31">
        <f>IFERROR(Forcasting!C37,0)</f>
        <v>7.632209451717073E-2</v>
      </c>
      <c r="D15" s="31">
        <f>IFERROR(Forcasting!D37,0)</f>
        <v>8.0690080098582875E-2</v>
      </c>
      <c r="E15" s="31">
        <f>IFERROR(Forcasting!E37,0)</f>
        <v>6.8436300994440535E-2</v>
      </c>
      <c r="F15" s="31">
        <f>IFERROR(Forcasting!F37,0)</f>
        <v>5.5197168188434564E-2</v>
      </c>
      <c r="G15" s="31">
        <f>IFERROR(Forcasting!G37,0)</f>
        <v>5.792153818048959E-2</v>
      </c>
      <c r="H15" s="124">
        <f>IFERROR(Forcasting!H37,0)</f>
        <v>4.4845183280724996E-2</v>
      </c>
      <c r="I15" s="124">
        <f>IFERROR(Forcasting!I37,0)</f>
        <v>5.1564026030692912E-2</v>
      </c>
      <c r="J15" s="124">
        <f>IFERROR(Forcasting!J37,0)</f>
        <v>5.4645419001733531E-2</v>
      </c>
      <c r="K15" s="124">
        <f>IFERROR(Forcasting!K37,0)</f>
        <v>5.4189780930467411E-2</v>
      </c>
      <c r="L15" s="124">
        <f>IFERROR(Forcasting!L37,0)</f>
        <v>5.7628465578337749E-2</v>
      </c>
      <c r="N15" s="31">
        <f>IFERROR(AVERAGE(C15:G15),0)</f>
        <v>6.7713436395823653E-2</v>
      </c>
      <c r="O15" s="31">
        <f>IFERROR(MEDIAN(C15:G15),0)</f>
        <v>6.8436300994440535E-2</v>
      </c>
    </row>
    <row r="16" spans="2:15" x14ac:dyDescent="0.25">
      <c r="M16" s="114"/>
    </row>
    <row r="17" spans="2:15" x14ac:dyDescent="0.25">
      <c r="B17" s="27" t="s">
        <v>132</v>
      </c>
      <c r="C17" s="28">
        <f>IFERROR(Forcasting!C16,0)</f>
        <v>7.7433244209868399E-2</v>
      </c>
      <c r="D17" s="28">
        <f>IFERROR(Forcasting!D16,0)</f>
        <v>8.3746149106592727E-2</v>
      </c>
      <c r="E17" s="28">
        <f>IFERROR(Forcasting!E16,0)</f>
        <v>8.0808080808080815E-2</v>
      </c>
      <c r="F17" s="28">
        <f>IFERROR(Forcasting!F16,0)</f>
        <v>7.8371046711658066E-2</v>
      </c>
      <c r="G17" s="28">
        <f>IFERROR(Forcasting!G16,0)</f>
        <v>6.5833942272561202E-2</v>
      </c>
      <c r="H17" s="122">
        <f>IFERROR(Forcasting!H16,0)</f>
        <v>0.09</v>
      </c>
      <c r="I17" s="122">
        <f>IFERROR(Forcasting!I16,0)</f>
        <v>0.09</v>
      </c>
      <c r="J17" s="122">
        <f>IFERROR(Forcasting!J16,0)</f>
        <v>0.09</v>
      </c>
      <c r="K17" s="122">
        <f>IFERROR(Forcasting!K16,0)</f>
        <v>0.09</v>
      </c>
      <c r="L17" s="122">
        <f>IFERROR(Forcasting!L16,0)</f>
        <v>0.09</v>
      </c>
      <c r="N17" s="28">
        <f>IFERROR(AVERAGE(C17:G17),0)</f>
        <v>7.7238492621752239E-2</v>
      </c>
      <c r="O17" s="28">
        <f>IFERROR(MEDIAN(C17:G17),0)</f>
        <v>7.8371046711658066E-2</v>
      </c>
    </row>
    <row r="18" spans="2:15" x14ac:dyDescent="0.25">
      <c r="B18" t="s">
        <v>68</v>
      </c>
      <c r="C18" s="29">
        <f>IFERROR(Forcasting!C28,0)</f>
        <v>1.3854647730823988E-2</v>
      </c>
      <c r="D18" s="29">
        <f>IFERROR(Forcasting!D28,0)</f>
        <v>1.0868761552680222E-2</v>
      </c>
      <c r="E18" s="29">
        <f>IFERROR(Forcasting!E28,0)</f>
        <v>1.1432150967034689E-2</v>
      </c>
      <c r="F18" s="29">
        <f>IFERROR(Forcasting!F28,0)</f>
        <v>1.146288209606987E-2</v>
      </c>
      <c r="G18" s="29">
        <f>IFERROR(Forcasting!G28,0)</f>
        <v>9.4309462915601015E-3</v>
      </c>
      <c r="H18" s="123">
        <f>IFERROR(Forcasting!H28,0)</f>
        <v>1.2551978203968688E-2</v>
      </c>
      <c r="I18" s="123">
        <f>IFERROR(Forcasting!I28,0)</f>
        <v>1.3636190131790422E-2</v>
      </c>
      <c r="J18" s="123">
        <f>IFERROR(Forcasting!J28,0)</f>
        <v>1.4632289613992426E-2</v>
      </c>
      <c r="K18" s="123">
        <f>IFERROR(Forcasting!K28,0)</f>
        <v>1.5464029069529739E-2</v>
      </c>
      <c r="L18" s="123">
        <f>IFERROR(Forcasting!L28,0)</f>
        <v>1.6193401239797733E-2</v>
      </c>
      <c r="N18" s="29">
        <f>IFERROR(AVERAGE(C18:G18),0)</f>
        <v>1.1409877727633775E-2</v>
      </c>
      <c r="O18" s="29">
        <f>IFERROR(MEDIAN(C18:G18),0)</f>
        <v>1.1432150967034689E-2</v>
      </c>
    </row>
    <row r="19" spans="2:15" x14ac:dyDescent="0.25">
      <c r="B19" s="30" t="s">
        <v>133</v>
      </c>
      <c r="C19" s="31">
        <f>IFERROR(C13,0)</f>
        <v>0.10226049515608181</v>
      </c>
      <c r="D19" s="31">
        <f t="shared" ref="D19:L19" si="1">IFERROR(D13,0)</f>
        <v>0.10945163277880468</v>
      </c>
      <c r="E19" s="31">
        <f t="shared" si="1"/>
        <v>9.2161929371231702E-2</v>
      </c>
      <c r="F19" s="31">
        <f t="shared" si="1"/>
        <v>8.2721317983326714E-2</v>
      </c>
      <c r="G19" s="31">
        <f t="shared" si="1"/>
        <v>8.5986024844720496E-2</v>
      </c>
      <c r="H19" s="124">
        <f t="shared" si="1"/>
        <v>7.744802179603133E-2</v>
      </c>
      <c r="I19" s="124">
        <f t="shared" si="1"/>
        <v>8.6363809868209462E-2</v>
      </c>
      <c r="J19" s="124">
        <f t="shared" si="1"/>
        <v>9.0367710386007494E-2</v>
      </c>
      <c r="K19" s="124">
        <f t="shared" si="1"/>
        <v>8.9535970930470291E-2</v>
      </c>
      <c r="L19" s="124">
        <f t="shared" si="1"/>
        <v>9.3806598760202198E-2</v>
      </c>
      <c r="N19" s="31">
        <f>IFERROR(AVERAGE(C19:G19),0)</f>
        <v>9.4516280026833072E-2</v>
      </c>
      <c r="O19" s="31">
        <f>IFERROR(MEDIAN(C19:G19),0)</f>
        <v>9.2161929371231702E-2</v>
      </c>
    </row>
    <row r="21" spans="2:15" x14ac:dyDescent="0.25">
      <c r="B21" s="27" t="s">
        <v>134</v>
      </c>
      <c r="C21" s="28">
        <f>IFERROR((Forcasting!C18-Forcasting!C27)/SUM(Forcasting!C50:C52),0)</f>
        <v>0.1776450717818796</v>
      </c>
      <c r="D21" s="28">
        <f>IFERROR((Forcasting!D18-Forcasting!D27)/SUM(Forcasting!D50:D52),0)</f>
        <v>0.20930342162315016</v>
      </c>
      <c r="E21" s="28">
        <f>IFERROR((Forcasting!E18-Forcasting!E27)/SUM(Forcasting!E50:E52),0)</f>
        <v>0.18891697764937201</v>
      </c>
      <c r="F21" s="28">
        <f>IFERROR((Forcasting!F18-Forcasting!F27)/SUM(Forcasting!F50:F52),0)</f>
        <v>0.15434708805283787</v>
      </c>
      <c r="G21" s="28">
        <f>IFERROR((Forcasting!G18-Forcasting!G27)/SUM(Forcasting!G50:G52),0)</f>
        <v>0.16257231672567135</v>
      </c>
      <c r="H21" s="122">
        <f>IFERROR((Forcasting!H18-Forcasting!H27)/SUM(Forcasting!H50:H52),0)</f>
        <v>0.14968581029542766</v>
      </c>
      <c r="I21" s="122">
        <f>IFERROR((Forcasting!I18-Forcasting!I27)/SUM(Forcasting!I50:I52),0)</f>
        <v>0.16522477788067577</v>
      </c>
      <c r="J21" s="122">
        <f>IFERROR((Forcasting!J18-Forcasting!J27)/SUM(Forcasting!J50:J52),0)</f>
        <v>0.17004195528381827</v>
      </c>
      <c r="K21" s="122">
        <f>IFERROR((Forcasting!K18-Forcasting!K27)/SUM(Forcasting!K50:K52),0)</f>
        <v>0.16682411995490756</v>
      </c>
      <c r="L21" s="122">
        <f>IFERROR((Forcasting!L18-Forcasting!L27)/SUM(Forcasting!L50:L52),0)</f>
        <v>0.17314407446543528</v>
      </c>
      <c r="N21" s="28">
        <f>IFERROR(AVERAGE(C21:G21),0)</f>
        <v>0.17855697516658223</v>
      </c>
      <c r="O21" s="28">
        <f>IFERROR(MEDIAN(C21:G21),0)</f>
        <v>0.1776450717818796</v>
      </c>
    </row>
    <row r="22" spans="2:15" x14ac:dyDescent="0.25">
      <c r="B22" t="s">
        <v>135</v>
      </c>
      <c r="C22" s="29">
        <f>IFERROR(Forcasting!C47,0)</f>
        <v>0.69631483166515018</v>
      </c>
      <c r="D22" s="29">
        <f>IFERROR(Forcasting!D47,0)</f>
        <v>0.72816127061698221</v>
      </c>
      <c r="E22" s="29">
        <f>IFERROR(Forcasting!E47,0)</f>
        <v>0.71996567505720821</v>
      </c>
      <c r="F22" s="29">
        <f>IFERROR(Forcasting!F47,0)</f>
        <v>0.70662271501348517</v>
      </c>
      <c r="G22" s="29">
        <f>IFERROR(Forcasting!G47,0)</f>
        <v>0.73684210526315796</v>
      </c>
      <c r="H22" s="123">
        <f>IFERROR(Forcasting!H47,0)</f>
        <v>0.72</v>
      </c>
      <c r="I22" s="123">
        <f>IFERROR(Forcasting!I47,0)</f>
        <v>0.72</v>
      </c>
      <c r="J22" s="123">
        <f>IFERROR(Forcasting!J47,0)</f>
        <v>0.72</v>
      </c>
      <c r="K22" s="123">
        <f>IFERROR(Forcasting!K47,0)</f>
        <v>0.72</v>
      </c>
      <c r="L22" s="123">
        <f>IFERROR(Forcasting!L47,0)</f>
        <v>0.72</v>
      </c>
      <c r="N22" s="29">
        <f>IFERROR(AVERAGE(C22:G22),0)</f>
        <v>0.7175813195231967</v>
      </c>
      <c r="O22" s="29">
        <f>IFERROR(MEDIAN(C22:G22),0)</f>
        <v>0.71996567505720821</v>
      </c>
    </row>
    <row r="23" spans="2:15" x14ac:dyDescent="0.25">
      <c r="B23" t="s">
        <v>136</v>
      </c>
      <c r="C23" s="29">
        <f>IFERROR(Forcasting!C36/SUM(Forcasting!C50:C51),0)</f>
        <v>0.236267870579383</v>
      </c>
      <c r="D23" s="29">
        <f>IFERROR(Forcasting!D36/SUM(Forcasting!D50:D51),0)</f>
        <v>0.27626360644671338</v>
      </c>
      <c r="E23" s="29">
        <f>IFERROR(Forcasting!E36/SUM(Forcasting!E50:E51),0)</f>
        <v>0.37219205791546894</v>
      </c>
      <c r="F23" s="29">
        <f>IFERROR(Forcasting!F36/SUM(Forcasting!F50:F51),0)</f>
        <v>0.28707845836200963</v>
      </c>
      <c r="G23" s="29">
        <f>IFERROR(Forcasting!G36/SUM(Forcasting!G50:G51),0)</f>
        <v>0.32305928803413358</v>
      </c>
      <c r="H23" s="123">
        <f>IFERROR(Forcasting!H36/SUM(Forcasting!H50:H51),0)</f>
        <v>0.25018491100007095</v>
      </c>
      <c r="I23" s="123">
        <f>IFERROR(Forcasting!I36/SUM(Forcasting!I50:I51),0)</f>
        <v>0.27091956727388045</v>
      </c>
      <c r="J23" s="123">
        <f>IFERROR(Forcasting!J36/SUM(Forcasting!J50:J51),0)</f>
        <v>0.26675984414880144</v>
      </c>
      <c r="K23" s="123">
        <f>IFERROR(Forcasting!K36/SUM(Forcasting!K50:K51),0)</f>
        <v>0.24777169271647609</v>
      </c>
      <c r="L23" s="123">
        <f>IFERROR(Forcasting!L36/SUM(Forcasting!L50:L51),0)</f>
        <v>0.24518592475176704</v>
      </c>
      <c r="N23" s="29">
        <f>IFERROR(AVERAGE(C23:G23),0)</f>
        <v>0.2989722562675417</v>
      </c>
      <c r="O23" s="29">
        <f>IFERROR(MEDIAN(C23:G23),0)</f>
        <v>0.28707845836200963</v>
      </c>
    </row>
    <row r="24" spans="2:15" x14ac:dyDescent="0.25">
      <c r="B24" t="s">
        <v>137</v>
      </c>
      <c r="C24" s="29">
        <f>IFERROR(C22*C23,0)</f>
        <v>0.16451682253036656</v>
      </c>
      <c r="D24" s="29">
        <f t="shared" ref="D24:L24" si="2">IFERROR(D22*D23,0)</f>
        <v>0.20116445869546873</v>
      </c>
      <c r="E24" s="29">
        <f t="shared" si="2"/>
        <v>0.26796550622804211</v>
      </c>
      <c r="F24" s="29">
        <f t="shared" si="2"/>
        <v>0.20285615966964898</v>
      </c>
      <c r="G24" s="29">
        <f t="shared" si="2"/>
        <v>0.23804368591988792</v>
      </c>
      <c r="H24" s="123">
        <f t="shared" si="2"/>
        <v>0.18013313592005109</v>
      </c>
      <c r="I24" s="123">
        <f t="shared" si="2"/>
        <v>0.19506208843719391</v>
      </c>
      <c r="J24" s="123">
        <f t="shared" si="2"/>
        <v>0.19206708778713702</v>
      </c>
      <c r="K24" s="123">
        <f t="shared" si="2"/>
        <v>0.17839561875586277</v>
      </c>
      <c r="L24" s="123">
        <f t="shared" si="2"/>
        <v>0.17653386582127226</v>
      </c>
      <c r="N24" s="29">
        <f>IFERROR(AVERAGE(C24:G24),0)</f>
        <v>0.21490932660868287</v>
      </c>
      <c r="O24" s="29">
        <f>IFERROR(MEDIAN(C24:G24),0)</f>
        <v>0.20285615966964898</v>
      </c>
    </row>
    <row r="25" spans="2:15" x14ac:dyDescent="0.25">
      <c r="B25" s="30" t="s">
        <v>138</v>
      </c>
      <c r="C25" s="32">
        <f>IFERROR((Forcasting!C18-Forcasting!C27)/Forcasting!C24,0)</f>
        <v>13.509174311926605</v>
      </c>
      <c r="D25" s="32">
        <f>IFERROR((Forcasting!D18-Forcasting!D27)/Forcasting!D24,0)</f>
        <v>14.803333333333333</v>
      </c>
      <c r="E25" s="32">
        <f>IFERROR((Forcasting!E18-Forcasting!E27)/Forcasting!E24,0)</f>
        <v>7.6058158319870763</v>
      </c>
      <c r="F25" s="32">
        <f>IFERROR((Forcasting!F18-Forcasting!F27)/Forcasting!F24,0)</f>
        <v>5.2476390346274924</v>
      </c>
      <c r="G25" s="32">
        <f>IFERROR((Forcasting!G18-Forcasting!G27)/Forcasting!G24,0)</f>
        <v>6.3822033898305088</v>
      </c>
      <c r="H25" s="125">
        <f>IFERROR((Forcasting!H18-Forcasting!H27)/Forcasting!H24,0)</f>
        <v>6.1985352739575212</v>
      </c>
      <c r="I25" s="125">
        <f>IFERROR((Forcasting!I18-Forcasting!I27)/Forcasting!I24,0)</f>
        <v>6.9491618761637941</v>
      </c>
      <c r="J25" s="125">
        <f>IFERROR((Forcasting!J18-Forcasting!J27)/Forcasting!J24,0)</f>
        <v>7.3396064070229032</v>
      </c>
      <c r="K25" s="125">
        <f>IFERROR((Forcasting!K18-Forcasting!K27)/Forcasting!K24,0)</f>
        <v>7.4059469315281605</v>
      </c>
      <c r="L25" s="125">
        <f>IFERROR((Forcasting!L18-Forcasting!L27)/Forcasting!L24,0)</f>
        <v>7.9745846370912243</v>
      </c>
      <c r="N25" s="32">
        <f>IFERROR(AVERAGE(C25:G25),0)</f>
        <v>9.5096331803410017</v>
      </c>
      <c r="O25" s="32">
        <f>IFERROR(MEDIAN(C25:G25),0)</f>
        <v>7.6058158319870763</v>
      </c>
    </row>
    <row r="26" spans="2:15" x14ac:dyDescent="0.25">
      <c r="M26" s="114"/>
    </row>
    <row r="27" spans="2:15" x14ac:dyDescent="0.25">
      <c r="B27" s="27" t="s">
        <v>139</v>
      </c>
      <c r="C27" s="33">
        <f>IFERROR(Forcasting!C6/Forcasting!C66,0)</f>
        <v>50.971681415929204</v>
      </c>
      <c r="D27" s="33">
        <f>IFERROR(Forcasting!D6/Forcasting!D66,0)</f>
        <v>60.200296735905042</v>
      </c>
      <c r="E27" s="33">
        <f>IFERROR(Forcasting!E6/Forcasting!E66,0)</f>
        <v>50.180746561886053</v>
      </c>
      <c r="F27" s="33">
        <f>IFERROR(Forcasting!F6/Forcasting!F66,0)</f>
        <v>56.606741573033709</v>
      </c>
      <c r="G27" s="33">
        <f>IFERROR(Forcasting!G6/Forcasting!G66,0)</f>
        <v>95.615720524017462</v>
      </c>
      <c r="H27" s="126">
        <f>IFERROR(Forcasting!H6/Forcasting!H66,0)</f>
        <v>60.833333333333343</v>
      </c>
      <c r="I27" s="126">
        <f>IFERROR(Forcasting!I6/Forcasting!I66,0)</f>
        <v>60.833333333333336</v>
      </c>
      <c r="J27" s="126">
        <f>IFERROR(Forcasting!J6/Forcasting!J66,0)</f>
        <v>60.833333333333336</v>
      </c>
      <c r="K27" s="126">
        <f>IFERROR(Forcasting!K6/Forcasting!K66,0)</f>
        <v>60.833333333333336</v>
      </c>
      <c r="L27" s="126">
        <f>IFERROR(Forcasting!L6/Forcasting!L66,0)</f>
        <v>60.833333333333336</v>
      </c>
      <c r="N27" s="33">
        <f>IFERROR(AVERAGE(C27:G27),0)</f>
        <v>62.715037362154291</v>
      </c>
      <c r="O27" s="33">
        <f>IFERROR(MEDIAN(C27:G27),0)</f>
        <v>56.606741573033709</v>
      </c>
    </row>
    <row r="28" spans="2:15" x14ac:dyDescent="0.25">
      <c r="B28" t="s">
        <v>140</v>
      </c>
      <c r="C28" s="34">
        <f>IFERROR(Forcasting!C9/Forcasting!C55,0)</f>
        <v>17.948222565687789</v>
      </c>
      <c r="D28" s="34">
        <f>IFERROR(Forcasting!D9/Forcasting!D55,0)</f>
        <v>26.602141680395388</v>
      </c>
      <c r="E28" s="34">
        <f>IFERROR(Forcasting!E9/Forcasting!E55,0)</f>
        <v>29.548936170212766</v>
      </c>
      <c r="F28" s="34">
        <f>IFERROR(Forcasting!F9/Forcasting!F55,0)</f>
        <v>25.483443708609272</v>
      </c>
      <c r="G28" s="34">
        <f>IFERROR(Forcasting!G9/Forcasting!G55,0)</f>
        <v>25.649790502793294</v>
      </c>
      <c r="H28" s="127">
        <f>IFERROR(Forcasting!H9/Forcasting!H55,0)</f>
        <v>24.333333333333336</v>
      </c>
      <c r="I28" s="127">
        <f>IFERROR(Forcasting!I9/Forcasting!I55,0)</f>
        <v>24.333333333333332</v>
      </c>
      <c r="J28" s="127">
        <f>IFERROR(Forcasting!J9/Forcasting!J55,0)</f>
        <v>24.333333333333336</v>
      </c>
      <c r="K28" s="127">
        <f>IFERROR(Forcasting!K9/Forcasting!K55,0)</f>
        <v>24.333333333333336</v>
      </c>
      <c r="L28" s="127">
        <f>IFERROR(Forcasting!L9/Forcasting!L55,0)</f>
        <v>24.333333333333336</v>
      </c>
      <c r="N28" s="34">
        <f>IFERROR(AVERAGE(C28:G28),0)</f>
        <v>25.046506925539703</v>
      </c>
      <c r="O28" s="34">
        <f>IFERROR(MEDIAN(C28:G28),0)</f>
        <v>25.649790502793294</v>
      </c>
    </row>
    <row r="29" spans="2:15" x14ac:dyDescent="0.25">
      <c r="B29" t="s">
        <v>31</v>
      </c>
      <c r="C29" s="34">
        <f>IFERROR(Forcasting!C9/Forcasting!C67,0)</f>
        <v>1.7065912263942979</v>
      </c>
      <c r="D29" s="34">
        <f>IFERROR(Forcasting!D9/Forcasting!D67,0)</f>
        <v>1.9473589001447178</v>
      </c>
      <c r="E29" s="34">
        <f>IFERROR(Forcasting!E9/Forcasting!E67,0)</f>
        <v>2.1869718125032809</v>
      </c>
      <c r="F29" s="34">
        <f>IFERROR(Forcasting!F9/Forcasting!F67,0)</f>
        <v>1.7749077490774907</v>
      </c>
      <c r="G29" s="34">
        <f>IFERROR(Forcasting!G9/Forcasting!G67,0)</f>
        <v>1.7186673841330744</v>
      </c>
      <c r="H29" s="34">
        <f>IFERROR(Forcasting!H9/Forcasting!H67,0)</f>
        <v>1.8717948717948718</v>
      </c>
      <c r="I29" s="34">
        <f>IFERROR(Forcasting!I9/Forcasting!I67,0)</f>
        <v>1.8717948717948718</v>
      </c>
      <c r="J29" s="34">
        <f>IFERROR(Forcasting!J9/Forcasting!J67,0)</f>
        <v>1.8717948717948716</v>
      </c>
      <c r="K29" s="34">
        <f>IFERROR(Forcasting!K9/Forcasting!K67,0)</f>
        <v>1.8717948717948716</v>
      </c>
      <c r="L29" s="34">
        <f>IFERROR(Forcasting!L9/Forcasting!L67,0)</f>
        <v>1.8717948717948716</v>
      </c>
      <c r="N29" s="34">
        <f>IFERROR(AVERAGE(C29:G29),0)</f>
        <v>1.8668994144505722</v>
      </c>
      <c r="O29" s="34">
        <f>IFERROR(MEDIAN(C29:G29),0)</f>
        <v>1.7749077490774907</v>
      </c>
    </row>
    <row r="30" spans="2:15" x14ac:dyDescent="0.25">
      <c r="B30" t="s">
        <v>141</v>
      </c>
      <c r="C30" s="34">
        <f>IFERROR(Forcasting!C6/Forcasting!C60,0)</f>
        <v>11.320361635220126</v>
      </c>
      <c r="D30" s="34">
        <f>IFERROR(Forcasting!D6/Forcasting!D60,0)</f>
        <v>13.534022681787858</v>
      </c>
      <c r="E30" s="34">
        <f>IFERROR(Forcasting!E6/Forcasting!E60,0)</f>
        <v>13.772984631976273</v>
      </c>
      <c r="F30" s="34">
        <f>IFERROR(Forcasting!F6/Forcasting!F60,0)</f>
        <v>14.883308714918758</v>
      </c>
      <c r="G30" s="34">
        <f>IFERROR(Forcasting!G6/Forcasting!G60,0)</f>
        <v>12.733934283221867</v>
      </c>
      <c r="H30" s="127">
        <f>IFERROR(Forcasting!H6/Forcasting!H60,0)</f>
        <v>12.222377735707289</v>
      </c>
      <c r="I30" s="127">
        <f>IFERROR(Forcasting!I6/Forcasting!I60,0)</f>
        <v>11.588426819351236</v>
      </c>
      <c r="J30" s="127">
        <f>IFERROR(Forcasting!J6/Forcasting!J60,0)</f>
        <v>11.061323721641781</v>
      </c>
      <c r="K30" s="127">
        <f>IFERROR(Forcasting!K6/Forcasting!K60,0)</f>
        <v>10.656585922005563</v>
      </c>
      <c r="L30" s="127">
        <f>IFERROR(Forcasting!L6/Forcasting!L60,0)</f>
        <v>10.325279122490361</v>
      </c>
      <c r="N30" s="34">
        <f>IFERROR(AVERAGE(C30:G30),0)</f>
        <v>13.248922389424976</v>
      </c>
      <c r="O30" s="34">
        <f>IFERROR(MEDIAN(C30:G30),0)</f>
        <v>13.534022681787858</v>
      </c>
    </row>
    <row r="31" spans="2:15" x14ac:dyDescent="0.25">
      <c r="B31" s="30" t="s">
        <v>142</v>
      </c>
      <c r="C31" s="32">
        <f>IFERROR(Forcasting!C6/SUM(Forcasting!C50:C51),0)</f>
        <v>3.0956680640653551</v>
      </c>
      <c r="D31" s="32">
        <f>IFERROR(Forcasting!D6/SUM(Forcasting!D50:D51),0)</f>
        <v>3.4237617078727531</v>
      </c>
      <c r="E31" s="32">
        <f>IFERROR(Forcasting!E6/SUM(Forcasting!E50:E51),0)</f>
        <v>5.4385180453529225</v>
      </c>
      <c r="F31" s="32">
        <f>IFERROR(Forcasting!F6/SUM(Forcasting!F50:F51),0)</f>
        <v>5.2009635237439777</v>
      </c>
      <c r="G31" s="32">
        <f>IFERROR(Forcasting!G6/SUM(Forcasting!G50:G51),0)</f>
        <v>5.5775329554862125</v>
      </c>
      <c r="H31" s="125">
        <f>IFERROR(Forcasting!H6/SUM(Forcasting!H50:H51),0)</f>
        <v>5.5788580332908015</v>
      </c>
      <c r="I31" s="125">
        <f>IFERROR(Forcasting!I6/SUM(Forcasting!I50:I51),0)</f>
        <v>5.254042171040302</v>
      </c>
      <c r="J31" s="125">
        <f>IFERROR(Forcasting!J6/SUM(Forcasting!J50:J51),0)</f>
        <v>4.8816506309584513</v>
      </c>
      <c r="K31" s="125">
        <f>IFERROR(Forcasting!K6/SUM(Forcasting!K50:K51),0)</f>
        <v>4.5722955225524835</v>
      </c>
      <c r="L31" s="125">
        <f>IFERROR(Forcasting!L6/SUM(Forcasting!L50:L51),0)</f>
        <v>4.2545974856552693</v>
      </c>
      <c r="N31" s="32">
        <f>IFERROR(AVERAGE(C31:G31),0)</f>
        <v>4.5472888593042438</v>
      </c>
      <c r="O31" s="32">
        <f>IFERROR(MEDIAN(C31:G31),0)</f>
        <v>5.2009635237439777</v>
      </c>
    </row>
    <row r="32" spans="2:15" x14ac:dyDescent="0.25">
      <c r="M32" s="114"/>
    </row>
    <row r="33" spans="2:15" x14ac:dyDescent="0.25">
      <c r="B33" s="27" t="s">
        <v>206</v>
      </c>
      <c r="C33" s="35">
        <f>IFERROR(365/C27,0)</f>
        <v>7.160838918017987</v>
      </c>
      <c r="D33" s="35">
        <f t="shared" ref="D33:L33" si="3">IFERROR(365/D27,0)</f>
        <v>6.0630930375847196</v>
      </c>
      <c r="E33" s="35">
        <f t="shared" si="3"/>
        <v>7.2737060527758199</v>
      </c>
      <c r="F33" s="35">
        <f t="shared" si="3"/>
        <v>6.4479952362048429</v>
      </c>
      <c r="G33" s="35">
        <f t="shared" si="3"/>
        <v>3.8173639020825725</v>
      </c>
      <c r="H33" s="128">
        <f t="shared" si="3"/>
        <v>5.9999999999999991</v>
      </c>
      <c r="I33" s="128">
        <f t="shared" si="3"/>
        <v>6</v>
      </c>
      <c r="J33" s="128">
        <f t="shared" si="3"/>
        <v>6</v>
      </c>
      <c r="K33" s="128">
        <f t="shared" si="3"/>
        <v>6</v>
      </c>
      <c r="L33" s="128">
        <f t="shared" si="3"/>
        <v>6</v>
      </c>
      <c r="N33" s="35">
        <f>IFERROR(AVERAGE(C33:G33),0)</f>
        <v>6.152599429333188</v>
      </c>
      <c r="O33" s="35">
        <f>IFERROR(MEDIAN(C33:G33),0)</f>
        <v>6.4479952362048429</v>
      </c>
    </row>
    <row r="34" spans="2:15" x14ac:dyDescent="0.25">
      <c r="B34" t="s">
        <v>143</v>
      </c>
      <c r="C34" s="36">
        <f t="shared" ref="C34" si="4">IFERROR(365/C28,0)</f>
        <v>20.336275565123788</v>
      </c>
      <c r="D34" s="36">
        <f t="shared" ref="D34:L34" si="5">IFERROR(365/D28,0)</f>
        <v>13.720699798730454</v>
      </c>
      <c r="E34" s="36">
        <f t="shared" si="5"/>
        <v>12.352390552995391</v>
      </c>
      <c r="F34" s="36">
        <f t="shared" si="5"/>
        <v>14.323024948024948</v>
      </c>
      <c r="G34" s="36">
        <f t="shared" si="5"/>
        <v>14.230135718272281</v>
      </c>
      <c r="H34" s="111">
        <f t="shared" si="5"/>
        <v>14.999999999999998</v>
      </c>
      <c r="I34" s="111">
        <f t="shared" si="5"/>
        <v>15</v>
      </c>
      <c r="J34" s="111">
        <f t="shared" si="5"/>
        <v>14.999999999999998</v>
      </c>
      <c r="K34" s="111">
        <f t="shared" si="5"/>
        <v>14.999999999999998</v>
      </c>
      <c r="L34" s="111">
        <f t="shared" si="5"/>
        <v>14.999999999999998</v>
      </c>
      <c r="N34" s="36">
        <f>IFERROR(AVERAGE(C34:G34),0)</f>
        <v>14.992505316629373</v>
      </c>
      <c r="O34" s="36">
        <f>IFERROR(MEDIAN(C34:G34),0)</f>
        <v>14.230135718272281</v>
      </c>
    </row>
    <row r="35" spans="2:15" x14ac:dyDescent="0.25">
      <c r="B35" t="s">
        <v>144</v>
      </c>
      <c r="C35" s="36">
        <f t="shared" ref="C35" si="6">IFERROR(365/C29,0)</f>
        <v>213.87664155005382</v>
      </c>
      <c r="D35" s="36">
        <f t="shared" ref="D35:L35" si="7">IFERROR(365/D29,0)</f>
        <v>187.43334881560614</v>
      </c>
      <c r="E35" s="36">
        <f t="shared" si="7"/>
        <v>166.89744143625191</v>
      </c>
      <c r="F35" s="36">
        <f t="shared" si="7"/>
        <v>205.64449064449065</v>
      </c>
      <c r="G35" s="36">
        <f t="shared" si="7"/>
        <v>212.37384462503914</v>
      </c>
      <c r="H35" s="111">
        <f t="shared" si="7"/>
        <v>195</v>
      </c>
      <c r="I35" s="111">
        <f t="shared" si="7"/>
        <v>195</v>
      </c>
      <c r="J35" s="111">
        <f t="shared" si="7"/>
        <v>195.00000000000003</v>
      </c>
      <c r="K35" s="111">
        <f t="shared" si="7"/>
        <v>195.00000000000003</v>
      </c>
      <c r="L35" s="111">
        <f t="shared" si="7"/>
        <v>195.00000000000003</v>
      </c>
      <c r="N35" s="36">
        <f>IFERROR(AVERAGE(C35:G35),0)</f>
        <v>197.24515341428835</v>
      </c>
      <c r="O35" s="36">
        <f>IFERROR(MEDIAN(C35:G35),0)</f>
        <v>205.64449064449065</v>
      </c>
    </row>
    <row r="36" spans="2:15" x14ac:dyDescent="0.25">
      <c r="B36" s="30" t="s">
        <v>145</v>
      </c>
      <c r="C36" s="37">
        <f t="shared" ref="C36" si="8">IFERROR(C33+C35-C34,0)</f>
        <v>200.70120490294801</v>
      </c>
      <c r="D36" s="37">
        <f t="shared" ref="D36:L36" si="9">IFERROR(D33+D35-D34,0)</f>
        <v>179.77574205446038</v>
      </c>
      <c r="E36" s="37">
        <f t="shared" si="9"/>
        <v>161.81875693603234</v>
      </c>
      <c r="F36" s="37">
        <f t="shared" si="9"/>
        <v>197.76946093267054</v>
      </c>
      <c r="G36" s="37">
        <f t="shared" si="9"/>
        <v>201.96107280884942</v>
      </c>
      <c r="H36" s="129">
        <f t="shared" si="9"/>
        <v>186</v>
      </c>
      <c r="I36" s="129">
        <f t="shared" si="9"/>
        <v>186</v>
      </c>
      <c r="J36" s="129">
        <f t="shared" si="9"/>
        <v>186.00000000000003</v>
      </c>
      <c r="K36" s="129">
        <f t="shared" si="9"/>
        <v>186.00000000000003</v>
      </c>
      <c r="L36" s="129">
        <f t="shared" si="9"/>
        <v>186.00000000000003</v>
      </c>
      <c r="N36" s="37">
        <f>IFERROR(AVERAGE(C36:G36),0)</f>
        <v>188.40524752699213</v>
      </c>
      <c r="O36" s="37">
        <f>IFERROR(MEDIAN(C36:G36),0)</f>
        <v>197.76946093267054</v>
      </c>
    </row>
    <row r="37" spans="2:15" x14ac:dyDescent="0.25">
      <c r="M37" s="114"/>
    </row>
    <row r="38" spans="2:15" x14ac:dyDescent="0.25">
      <c r="B38" s="27" t="s">
        <v>146</v>
      </c>
      <c r="C38" s="28">
        <f>IFERROR(Forcasting!C85/Forcasting!C6,0)</f>
        <v>-2.5139761797284627E-2</v>
      </c>
      <c r="D38" s="28">
        <f>IFERROR(Forcasting!D85/Forcasting!D6,0)</f>
        <v>3.3764633394947625E-2</v>
      </c>
      <c r="E38" s="28">
        <f>IFERROR(Forcasting!E85/Forcasting!E6,0)</f>
        <v>3.3180643645759927E-2</v>
      </c>
      <c r="F38" s="28">
        <f>IFERROR(Forcasting!F85/Forcasting!F6,0)</f>
        <v>-8.9486568744210661E-3</v>
      </c>
      <c r="G38" s="28">
        <f>IFERROR(Forcasting!G85/Forcasting!G6,0)</f>
        <v>6.3824442820606508E-2</v>
      </c>
      <c r="H38" s="122">
        <f>IFERROR(Forcasting!H85/Forcasting!H6,0)</f>
        <v>2.346072916076089E-2</v>
      </c>
      <c r="I38" s="122">
        <f>IFERROR(Forcasting!I85/Forcasting!I6,0)</f>
        <v>1.9157598202057126E-2</v>
      </c>
      <c r="J38" s="122">
        <f>IFERROR(Forcasting!J85/Forcasting!J6,0)</f>
        <v>2.6627321480526434E-2</v>
      </c>
      <c r="K38" s="122">
        <f>IFERROR(Forcasting!K85/Forcasting!K6,0)</f>
        <v>2.7478852057194934E-2</v>
      </c>
      <c r="L38" s="122">
        <f>IFERROR(Forcasting!L85/Forcasting!L6,0)</f>
        <v>3.6778588845047804E-2</v>
      </c>
      <c r="N38" s="28">
        <f>IFERROR(AVERAGE(C38:G38),0)</f>
        <v>1.9336260237921673E-2</v>
      </c>
      <c r="O38" s="28">
        <f>IFERROR(MEDIAN(C38:G38),0)</f>
        <v>3.3180643645759927E-2</v>
      </c>
    </row>
    <row r="39" spans="2:15" x14ac:dyDescent="0.25">
      <c r="B39" t="s">
        <v>147</v>
      </c>
      <c r="C39" s="29">
        <f>IFERROR(Forcasting!C85/Forcasting!C71,0)</f>
        <v>-3.4170285067019066E-2</v>
      </c>
      <c r="D39" s="29">
        <f>IFERROR(Forcasting!D85/Forcasting!D71,0)</f>
        <v>5.0703182827535158E-2</v>
      </c>
      <c r="E39" s="29">
        <f>IFERROR(Forcasting!E85/Forcasting!E71,0)</f>
        <v>5.3729356198687669E-2</v>
      </c>
      <c r="F39" s="29">
        <f>IFERROR(Forcasting!F85/Forcasting!F71,0)</f>
        <v>-1.3310370279247139E-2</v>
      </c>
      <c r="G39" s="29">
        <f>IFERROR(Forcasting!G85/Forcasting!G71,0)</f>
        <v>9.2303627747230069E-2</v>
      </c>
      <c r="H39" s="123">
        <f>IFERROR(Forcasting!H85/Forcasting!H71,0)</f>
        <v>3.4958487205573006E-2</v>
      </c>
      <c r="I39" s="123">
        <f>IFERROR(Forcasting!I85/Forcasting!I71,0)</f>
        <v>2.8339951496727973E-2</v>
      </c>
      <c r="J39" s="123">
        <f>IFERROR(Forcasting!J85/Forcasting!J71,0)</f>
        <v>3.8898930402288229E-2</v>
      </c>
      <c r="K39" s="123">
        <f>IFERROR(Forcasting!K85/Forcasting!K71,0)</f>
        <v>3.983649095772656E-2</v>
      </c>
      <c r="L39" s="123">
        <f>IFERROR(Forcasting!L85/Forcasting!L71,0)</f>
        <v>5.2944719428709937E-2</v>
      </c>
      <c r="N39" s="29">
        <f>IFERROR(AVERAGE(C39:G39),0)</f>
        <v>2.9851102285437338E-2</v>
      </c>
      <c r="O39" s="29">
        <f>IFERROR(MEDIAN(C39:G39),0)</f>
        <v>5.0703182827535158E-2</v>
      </c>
    </row>
    <row r="40" spans="2:15" x14ac:dyDescent="0.25">
      <c r="B40" s="30" t="s">
        <v>148</v>
      </c>
      <c r="C40" s="31">
        <f>IFERROR(Forcasting!C85/Forcasting!C52,0)</f>
        <v>-9.9518900343642608E-2</v>
      </c>
      <c r="D40" s="31">
        <f>IFERROR(Forcasting!D85/Forcasting!D52,0)</f>
        <v>0.14625814027970535</v>
      </c>
      <c r="E40" s="31">
        <f>IFERROR(Forcasting!E85/Forcasting!E52,0)</f>
        <v>0.10915765069551778</v>
      </c>
      <c r="F40" s="31">
        <f>IFERROR(Forcasting!F85/Forcasting!F52,0)</f>
        <v>-2.6038407854839487E-2</v>
      </c>
      <c r="G40" s="31">
        <f>IFERROR(Forcasting!G85/Forcasting!G52,0)</f>
        <v>0.18255445609222429</v>
      </c>
      <c r="H40" s="124">
        <f>IFERROR(Forcasting!H85/Forcasting!H52,0)</f>
        <v>6.937847277280132E-2</v>
      </c>
      <c r="I40" s="124">
        <f>IFERROR(Forcasting!I85/Forcasting!I52,0)</f>
        <v>5.7638452399804849E-2</v>
      </c>
      <c r="J40" s="124">
        <f>IFERROR(Forcasting!J85/Forcasting!J52,0)</f>
        <v>8.1530129015820199E-2</v>
      </c>
      <c r="K40" s="124">
        <f>IFERROR(Forcasting!K85/Forcasting!K52,0)</f>
        <v>8.6411412908081686E-2</v>
      </c>
      <c r="L40" s="124">
        <f>IFERROR(Forcasting!L85/Forcasting!L52,0)</f>
        <v>0.11990009515747149</v>
      </c>
      <c r="N40" s="31">
        <f>IFERROR(AVERAGE(C40:G40),0)</f>
        <v>6.2482587773793064E-2</v>
      </c>
      <c r="O40" s="31">
        <f>IFERROR(MEDIAN(C40:G40),0)</f>
        <v>0.10915765069551778</v>
      </c>
    </row>
    <row r="41" spans="2:15" x14ac:dyDescent="0.25">
      <c r="M41" s="115"/>
    </row>
  </sheetData>
  <mergeCells count="2">
    <mergeCell ref="B2:L2"/>
    <mergeCell ref="M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110B904A-9B18-4FD4-B06B-5C2C56AD7123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first="1" last="1" xr2:uid="{77B9BD3F-9D6A-4480-A9D1-3C04C496C54E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Analysis'!C11:L11</xm:f>
              <xm:sqref>M11</xm:sqref>
            </x14:sparkline>
          </x14:sparklines>
        </x14:sparklineGroup>
        <x14:sparklineGroup displayEmptyCellsAs="gap" markers="1" first="1" last="1" xr2:uid="{B16F70C3-FEB1-43A2-956F-3CECE899337F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first="1" last="1" xr2:uid="{E895BC54-4FA5-4C17-BC33-2239A4FFF73A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Analysis'!D5:L5</xm:f>
              <xm:sqref>M5</xm:sqref>
            </x14:sparkline>
            <x14:sparkline>
              <xm:f>'Ratio Analysis'!C10:G10</xm:f>
              <xm:sqref>M10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2A8E-BD31-4F6D-825F-5D3161FAD2CB}">
  <dimension ref="B2:O1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3" sqref="C13:D13"/>
    </sheetView>
  </sheetViews>
  <sheetFormatPr defaultRowHeight="15" x14ac:dyDescent="0.25"/>
  <cols>
    <col min="1" max="1" width="1.85546875" customWidth="1"/>
    <col min="2" max="2" width="52.140625" bestFit="1" customWidth="1"/>
    <col min="3" max="3" width="13.140625" customWidth="1"/>
    <col min="4" max="12" width="12.7109375" customWidth="1"/>
  </cols>
  <sheetData>
    <row r="2" spans="2:15" ht="21" x14ac:dyDescent="0.25">
      <c r="B2" s="148" t="str">
        <f>" Model Checks - " &amp;  'Data Sheet'!B1</f>
        <v xml:space="preserve"> Model Checks - TITAN COMPANY LTD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75"/>
      <c r="N2" s="75"/>
      <c r="O2" s="75"/>
    </row>
    <row r="3" spans="2:15" x14ac:dyDescent="0.25">
      <c r="B3" s="9" t="s">
        <v>56</v>
      </c>
      <c r="C3" s="74">
        <f>'Historical FS'!H3</f>
        <v>44651</v>
      </c>
      <c r="D3" s="74">
        <f>'Historical FS'!I3</f>
        <v>45016</v>
      </c>
      <c r="E3" s="74">
        <f>'Historical FS'!J3</f>
        <v>45382</v>
      </c>
      <c r="F3" s="74">
        <f>'Historical FS'!K3</f>
        <v>45747</v>
      </c>
      <c r="G3" s="74">
        <f>'Historical FS'!L3</f>
        <v>46112</v>
      </c>
      <c r="H3" s="58">
        <f>+G3+365</f>
        <v>46477</v>
      </c>
      <c r="I3" s="58">
        <f t="shared" ref="I3:L3" si="0">+H3+365</f>
        <v>46842</v>
      </c>
      <c r="J3" s="58">
        <f t="shared" si="0"/>
        <v>47207</v>
      </c>
      <c r="K3" s="58">
        <f t="shared" si="0"/>
        <v>47572</v>
      </c>
      <c r="L3" s="58">
        <f t="shared" si="0"/>
        <v>47937</v>
      </c>
      <c r="M3" s="75"/>
      <c r="N3" s="60"/>
      <c r="O3" s="60"/>
    </row>
    <row r="4" spans="2:15" x14ac:dyDescent="0.25">
      <c r="B4" s="49" t="s">
        <v>271</v>
      </c>
      <c r="C4" s="19">
        <f>IFERROR(ROUND(Forcasting!C71-Forcasting!C58,0),1)</f>
        <v>0</v>
      </c>
      <c r="D4" s="19">
        <f>IFERROR(ROUND(Forcasting!D71-Forcasting!D58,0),1)</f>
        <v>0</v>
      </c>
      <c r="E4" s="19">
        <f>IFERROR(ROUND(Forcasting!E71-Forcasting!E58,0),1)</f>
        <v>0</v>
      </c>
      <c r="F4" s="19">
        <f>IFERROR(ROUND(Forcasting!F71-Forcasting!F58,0),1)</f>
        <v>0</v>
      </c>
      <c r="G4" s="19">
        <f>IFERROR(ROUND(Forcasting!G71-Forcasting!G58,0),1)</f>
        <v>0</v>
      </c>
      <c r="H4" s="94">
        <f>IFERROR(ROUND(Forcasting!H71-Forcasting!H58,0),1)</f>
        <v>0</v>
      </c>
      <c r="I4" s="94">
        <f>IFERROR(ROUND(Forcasting!I71-Forcasting!I58,0),1)</f>
        <v>0</v>
      </c>
      <c r="J4" s="94">
        <f>IFERROR(ROUND(Forcasting!J71-Forcasting!J58,0),1)</f>
        <v>0</v>
      </c>
      <c r="K4" s="94">
        <f>IFERROR(ROUND(Forcasting!K71-Forcasting!K58,0),1)</f>
        <v>0</v>
      </c>
      <c r="L4" s="94">
        <f>IFERROR(ROUND(Forcasting!L71-Forcasting!L58,0),1)</f>
        <v>0</v>
      </c>
    </row>
    <row r="5" spans="2:15" x14ac:dyDescent="0.25">
      <c r="B5" s="49" t="s">
        <v>266</v>
      </c>
      <c r="C5" s="19">
        <f>IFERROR(Forcasting!C101-Forcasting!C68,0)</f>
        <v>0</v>
      </c>
      <c r="D5" s="19">
        <f>IFERROR(Forcasting!D101-Forcasting!D68,0)</f>
        <v>0</v>
      </c>
      <c r="E5" s="19">
        <f>IFERROR(Forcasting!E101-Forcasting!E68,0)</f>
        <v>0</v>
      </c>
      <c r="F5" s="19">
        <f>IFERROR(Forcasting!F101-Forcasting!F68,0)</f>
        <v>0</v>
      </c>
      <c r="G5" s="19">
        <f>IFERROR(Forcasting!G101-Forcasting!G68,0)</f>
        <v>0</v>
      </c>
      <c r="H5" s="94">
        <f>IFERROR(Forcasting!H101-Forcasting!H68,0)</f>
        <v>0</v>
      </c>
      <c r="I5" s="94">
        <f>IFERROR(Forcasting!I101-Forcasting!I68,0)</f>
        <v>0</v>
      </c>
      <c r="J5" s="94">
        <f>IFERROR(Forcasting!J101-Forcasting!J68,0)</f>
        <v>0</v>
      </c>
      <c r="K5" s="94">
        <f>IFERROR(Forcasting!K101-Forcasting!K68,0)</f>
        <v>0</v>
      </c>
      <c r="L5" s="94">
        <f>IFERROR(Forcasting!L101-Forcasting!L68,0)</f>
        <v>0</v>
      </c>
    </row>
    <row r="6" spans="2:15" x14ac:dyDescent="0.25">
      <c r="B6" s="49" t="s">
        <v>267</v>
      </c>
      <c r="C6" s="19"/>
      <c r="D6" s="19"/>
      <c r="E6" s="19"/>
      <c r="F6" s="19"/>
      <c r="G6" s="19"/>
      <c r="H6" s="94">
        <f>IFERROR(Forcasting!G51+Forcasting!H36-(Forcasting!H44*Forcasting!H39)-Forcasting!H51,0)</f>
        <v>0</v>
      </c>
      <c r="I6" s="94">
        <f>IFERROR(Forcasting!H51+Forcasting!I36-(Forcasting!I44*Forcasting!I39)-Forcasting!I51,0)</f>
        <v>0</v>
      </c>
      <c r="J6" s="94">
        <f>IFERROR(Forcasting!I51+Forcasting!J36-(Forcasting!J44*Forcasting!J39)-Forcasting!J51,0)</f>
        <v>0</v>
      </c>
      <c r="K6" s="94">
        <f>IFERROR(Forcasting!J51+Forcasting!K36-(Forcasting!K44*Forcasting!K39)-Forcasting!K51,0)</f>
        <v>0</v>
      </c>
      <c r="L6" s="94">
        <f>IFERROR(Forcasting!K51+Forcasting!L36-(Forcasting!L44*Forcasting!L39)-Forcasting!L51,0)</f>
        <v>0</v>
      </c>
    </row>
    <row r="7" spans="2:15" x14ac:dyDescent="0.25">
      <c r="B7" s="49" t="s">
        <v>268</v>
      </c>
      <c r="C7" s="19"/>
      <c r="D7" s="19">
        <f>IFERROR(Forcasting!C60+'FA Schedule'!D7-'FA Schedule'!D8-Forcasting!D60,0)</f>
        <v>0</v>
      </c>
      <c r="E7" s="19">
        <f>IFERROR(Forcasting!D60+'FA Schedule'!E7-'FA Schedule'!E8-Forcasting!E60,0)</f>
        <v>0</v>
      </c>
      <c r="F7" s="19">
        <f>IFERROR(Forcasting!E60+'FA Schedule'!F7-'FA Schedule'!F8-Forcasting!F60,0)</f>
        <v>0</v>
      </c>
      <c r="G7" s="19">
        <f>IFERROR(Forcasting!F60+'FA Schedule'!G7-'FA Schedule'!G8-Forcasting!G60,0)</f>
        <v>0</v>
      </c>
      <c r="H7" s="94">
        <f>IFERROR(Forcasting!G60+'FA Schedule'!H7-'FA Schedule'!H8-Forcasting!H60,0)</f>
        <v>0</v>
      </c>
      <c r="I7" s="94">
        <f>IFERROR(Forcasting!H60+'FA Schedule'!I7-'FA Schedule'!I8-Forcasting!I60,0)</f>
        <v>0</v>
      </c>
      <c r="J7" s="94">
        <f>IFERROR(Forcasting!I60+'FA Schedule'!J7-'FA Schedule'!J8-Forcasting!J60,0)</f>
        <v>0</v>
      </c>
      <c r="K7" s="94">
        <f>IFERROR(Forcasting!J60+'FA Schedule'!K7-'FA Schedule'!K8-Forcasting!K60,0)</f>
        <v>0</v>
      </c>
      <c r="L7" s="94">
        <f>IFERROR(Forcasting!K60+'FA Schedule'!L7-'FA Schedule'!L8-Forcasting!L60,0)</f>
        <v>0</v>
      </c>
    </row>
    <row r="8" spans="2:15" x14ac:dyDescent="0.25">
      <c r="B8" s="49" t="s">
        <v>269</v>
      </c>
      <c r="C8" s="19">
        <f>IFERROR(Forcasting!C24-'Debt Schedule'!C13,0)</f>
        <v>0</v>
      </c>
      <c r="D8" s="19">
        <f>IFERROR(Forcasting!D24-'Debt Schedule'!D13,0)</f>
        <v>0</v>
      </c>
      <c r="E8" s="19">
        <f>IFERROR(Forcasting!E24-'Debt Schedule'!E13,0)</f>
        <v>0</v>
      </c>
      <c r="F8" s="19">
        <f>IFERROR(Forcasting!F24-'Debt Schedule'!F13,0)</f>
        <v>0</v>
      </c>
      <c r="G8" s="19">
        <f>IFERROR(Forcasting!G24-'Debt Schedule'!G13,0)</f>
        <v>0</v>
      </c>
      <c r="H8" s="94">
        <f>IFERROR(Forcasting!H24-'Debt Schedule'!H13,0)</f>
        <v>0</v>
      </c>
      <c r="I8" s="94">
        <f>IFERROR(Forcasting!I24-'Debt Schedule'!I13,0)</f>
        <v>0</v>
      </c>
      <c r="J8" s="94">
        <f>IFERROR(Forcasting!J24-'Debt Schedule'!J13,0)</f>
        <v>0</v>
      </c>
      <c r="K8" s="94">
        <f>IFERROR(Forcasting!K24-'Debt Schedule'!K13,0)</f>
        <v>0</v>
      </c>
      <c r="L8" s="94">
        <f>IFERROR(Forcasting!L24-'Debt Schedule'!L13,0)</f>
        <v>0</v>
      </c>
    </row>
    <row r="9" spans="2:15" x14ac:dyDescent="0.25">
      <c r="B9" s="49" t="s">
        <v>272</v>
      </c>
      <c r="C9" s="42" t="str">
        <f>IFERROR(IF(MIN(Forcasting!C68,Forcasting!C67,Forcasting!C66)&lt;0,"Yes","No"),0)</f>
        <v>No</v>
      </c>
      <c r="D9" s="42" t="str">
        <f>IFERROR(IF(MIN(Forcasting!D68,Forcasting!D67,Forcasting!D66)&lt;0,"Yes","No"),0)</f>
        <v>No</v>
      </c>
      <c r="E9" s="42" t="str">
        <f>IFERROR(IF(MIN(Forcasting!E68,Forcasting!E67,Forcasting!E66)&lt;0,"Yes","No"),0)</f>
        <v>No</v>
      </c>
      <c r="F9" s="42" t="str">
        <f>IFERROR(IF(MIN(Forcasting!F68,Forcasting!F67,Forcasting!F66)&lt;0,"Yes","No"),0)</f>
        <v>No</v>
      </c>
      <c r="G9" s="42" t="str">
        <f>IFERROR(IF(MIN(Forcasting!G68,Forcasting!G67,Forcasting!G66)&lt;0,"Yes","No"),0)</f>
        <v>No</v>
      </c>
      <c r="H9" s="130" t="str">
        <f>IFERROR(IF(MIN(Forcasting!H68,Forcasting!H67,Forcasting!H66)&lt;0,"Yes","No"),0)</f>
        <v>No</v>
      </c>
      <c r="I9" s="130" t="str">
        <f>IFERROR(IF(MIN(Forcasting!I68,Forcasting!I67,Forcasting!I66)&lt;0,"Yes","No"),0)</f>
        <v>No</v>
      </c>
      <c r="J9" s="130" t="str">
        <f>IFERROR(IF(MIN(Forcasting!J68,Forcasting!J67,Forcasting!J66)&lt;0,"Yes","No"),0)</f>
        <v>No</v>
      </c>
      <c r="K9" s="130" t="str">
        <f>IFERROR(IF(MIN(Forcasting!K68,Forcasting!K67,Forcasting!K66)&lt;0,"Yes","No"),0)</f>
        <v>No</v>
      </c>
      <c r="L9" s="130" t="str">
        <f>IFERROR(IF(MIN(Forcasting!L68,Forcasting!L67,Forcasting!L66)&lt;0,"Yes","No"),0)</f>
        <v>No</v>
      </c>
    </row>
    <row r="10" spans="2:15" x14ac:dyDescent="0.25">
      <c r="B10" s="49" t="s">
        <v>270</v>
      </c>
      <c r="C10" s="42" t="str">
        <f>IFERROR(IF(Forcasting!C52&lt;-0.01,"Yes","No"),0)</f>
        <v>No</v>
      </c>
      <c r="D10" s="42" t="str">
        <f>IFERROR(IF(Forcasting!D52&lt;-0.01,"Yes","No"),0)</f>
        <v>No</v>
      </c>
      <c r="E10" s="42" t="str">
        <f>IFERROR(IF(Forcasting!E52&lt;-0.01,"Yes","No"),0)</f>
        <v>No</v>
      </c>
      <c r="F10" s="42" t="str">
        <f>IFERROR(IF(Forcasting!F52&lt;-0.01,"Yes","No"),0)</f>
        <v>No</v>
      </c>
      <c r="G10" s="42" t="str">
        <f>IFERROR(IF(Forcasting!G52&lt;-0.01,"Yes","No"),0)</f>
        <v>No</v>
      </c>
      <c r="H10" s="42" t="str">
        <f>IFERROR(IF(Forcasting!H52&lt;-0.01,"Yes","No"),0)</f>
        <v>No</v>
      </c>
      <c r="I10" s="42" t="str">
        <f>IFERROR(IF(Forcasting!I52&lt;-0.01,"Yes","No"),0)</f>
        <v>No</v>
      </c>
      <c r="J10" s="42" t="str">
        <f>IFERROR(IF(Forcasting!J52&lt;-0.01,"Yes","No"),0)</f>
        <v>No</v>
      </c>
      <c r="K10" s="42" t="str">
        <f>IFERROR(IF(Forcasting!K52&lt;-0.01,"Yes","No"),0)</f>
        <v>No</v>
      </c>
      <c r="L10" s="42" t="str">
        <f>IFERROR(IF(Forcasting!L52&lt;-0.01,"Yes","No"),0)</f>
        <v>No</v>
      </c>
    </row>
    <row r="11" spans="2:15" x14ac:dyDescent="0.25">
      <c r="B11" s="49"/>
    </row>
    <row r="13" spans="2:15" x14ac:dyDescent="0.25">
      <c r="B13" s="131" t="s">
        <v>273</v>
      </c>
      <c r="C13" s="151" t="str">
        <f>IF(SUM(C4:L8)&lt;0.5,"ALL CHECKS OK","ERROR - REVIEW CHECK")</f>
        <v>ALL CHECKS OK</v>
      </c>
      <c r="D13" s="151"/>
    </row>
  </sheetData>
  <mergeCells count="2">
    <mergeCell ref="B2:L2"/>
    <mergeCell ref="C13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10B0-9FA2-49FF-8706-CF72E649D517}">
  <sheetPr codeName="Sheet8">
    <tabColor rgb="FF002060"/>
  </sheetPr>
  <dimension ref="B2:K3"/>
  <sheetViews>
    <sheetView showGridLines="0" zoomScale="115" zoomScaleNormal="115" workbookViewId="0">
      <selection activeCell="A4" sqref="A4:E11"/>
    </sheetView>
  </sheetViews>
  <sheetFormatPr defaultRowHeight="15" x14ac:dyDescent="0.25"/>
  <sheetData>
    <row r="2" spans="2:11" x14ac:dyDescent="0.25">
      <c r="B2" s="38" t="s">
        <v>210</v>
      </c>
      <c r="C2" s="38"/>
      <c r="D2" s="38"/>
      <c r="E2" s="38"/>
      <c r="F2" s="38"/>
      <c r="G2" s="38"/>
      <c r="H2" s="38"/>
      <c r="I2" s="38"/>
      <c r="J2" s="38"/>
      <c r="K2" s="38"/>
    </row>
    <row r="3" spans="2:11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K93"/>
  <sheetViews>
    <sheetView showGridLines="0"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85546875" defaultRowHeight="15" x14ac:dyDescent="0.25"/>
  <cols>
    <col min="1" max="1" width="27.7109375" style="3" bestFit="1" customWidth="1"/>
    <col min="2" max="11" width="13.42578125" style="3" bestFit="1" customWidth="1"/>
    <col min="12" max="16384" width="8.85546875" style="3"/>
  </cols>
  <sheetData>
    <row r="1" spans="1:11" s="1" customFormat="1" x14ac:dyDescent="0.25">
      <c r="A1" s="1" t="s">
        <v>0</v>
      </c>
      <c r="B1" s="1" t="s">
        <v>34</v>
      </c>
      <c r="E1" s="152" t="str">
        <f>IF(B2&lt;&gt;B3, "A NEW VERSION OF THE WORKSHEET IS AVAILABLE", "")</f>
        <v/>
      </c>
      <c r="F1" s="152"/>
      <c r="G1" s="152"/>
      <c r="H1" s="152"/>
      <c r="I1" s="152"/>
      <c r="J1" s="152"/>
      <c r="K1" s="152"/>
    </row>
    <row r="2" spans="1:11" x14ac:dyDescent="0.25">
      <c r="A2" s="1" t="s">
        <v>32</v>
      </c>
      <c r="B2" s="3">
        <v>2.1</v>
      </c>
      <c r="E2" s="153" t="s">
        <v>22</v>
      </c>
      <c r="F2" s="153"/>
      <c r="G2" s="153"/>
      <c r="H2" s="153"/>
      <c r="I2" s="153"/>
      <c r="J2" s="153"/>
      <c r="K2" s="153"/>
    </row>
    <row r="3" spans="1:11" x14ac:dyDescent="0.25">
      <c r="A3" s="1" t="s">
        <v>33</v>
      </c>
      <c r="B3" s="3">
        <v>2.1</v>
      </c>
    </row>
    <row r="4" spans="1:11" x14ac:dyDescent="0.25">
      <c r="A4" s="1"/>
    </row>
    <row r="5" spans="1:11" x14ac:dyDescent="0.25">
      <c r="A5" s="1" t="s">
        <v>35</v>
      </c>
    </row>
    <row r="6" spans="1:11" x14ac:dyDescent="0.25">
      <c r="A6" s="3" t="s">
        <v>28</v>
      </c>
      <c r="B6" s="3">
        <f>IF(B9&gt;0, B9/B8, 0)</f>
        <v>88.77861266874352</v>
      </c>
    </row>
    <row r="7" spans="1:11" x14ac:dyDescent="0.25">
      <c r="A7" s="3" t="s">
        <v>17</v>
      </c>
      <c r="B7">
        <v>1</v>
      </c>
    </row>
    <row r="8" spans="1:11" x14ac:dyDescent="0.25">
      <c r="A8" s="3" t="s">
        <v>29</v>
      </c>
      <c r="B8">
        <v>4815</v>
      </c>
    </row>
    <row r="9" spans="1:11" x14ac:dyDescent="0.25">
      <c r="A9" s="3" t="s">
        <v>45</v>
      </c>
      <c r="B9">
        <v>427469.02</v>
      </c>
    </row>
    <row r="15" spans="1:11" x14ac:dyDescent="0.25">
      <c r="A15" s="1" t="s">
        <v>23</v>
      </c>
    </row>
    <row r="16" spans="1:11" s="7" customFormat="1" x14ac:dyDescent="0.25">
      <c r="A16" s="6" t="s">
        <v>24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25">
      <c r="A17" s="4" t="s">
        <v>1</v>
      </c>
      <c r="B17">
        <v>13260.83</v>
      </c>
      <c r="C17">
        <v>16119.77</v>
      </c>
      <c r="D17">
        <v>19778.52</v>
      </c>
      <c r="E17">
        <v>21052</v>
      </c>
      <c r="F17">
        <v>21644</v>
      </c>
      <c r="G17">
        <v>28799</v>
      </c>
      <c r="H17">
        <v>40575</v>
      </c>
      <c r="I17">
        <v>51084</v>
      </c>
      <c r="J17">
        <v>60456</v>
      </c>
      <c r="K17">
        <v>87584</v>
      </c>
    </row>
    <row r="18" spans="1:11" s="4" customFormat="1" x14ac:dyDescent="0.25">
      <c r="A18" s="3" t="s">
        <v>46</v>
      </c>
      <c r="B18">
        <v>9821.14</v>
      </c>
      <c r="C18">
        <v>12664.83</v>
      </c>
      <c r="D18">
        <v>15170.66</v>
      </c>
      <c r="E18">
        <v>16033</v>
      </c>
      <c r="F18">
        <v>16292</v>
      </c>
      <c r="G18">
        <v>26436</v>
      </c>
      <c r="H18">
        <v>32589</v>
      </c>
      <c r="I18">
        <v>42103</v>
      </c>
      <c r="J18">
        <v>55271</v>
      </c>
      <c r="K18">
        <v>80243</v>
      </c>
    </row>
    <row r="19" spans="1:11" s="4" customFormat="1" x14ac:dyDescent="0.25">
      <c r="A19" s="3" t="s">
        <v>47</v>
      </c>
      <c r="B19">
        <v>313.70999999999998</v>
      </c>
      <c r="C19">
        <v>978.61</v>
      </c>
      <c r="D19">
        <v>776.41</v>
      </c>
      <c r="E19">
        <v>878</v>
      </c>
      <c r="F19">
        <v>-122</v>
      </c>
      <c r="G19">
        <v>4795</v>
      </c>
      <c r="H19">
        <v>2234</v>
      </c>
      <c r="I19">
        <v>2671</v>
      </c>
      <c r="J19">
        <v>7815</v>
      </c>
      <c r="K19">
        <v>9936</v>
      </c>
    </row>
    <row r="20" spans="1:11" s="4" customFormat="1" x14ac:dyDescent="0.25">
      <c r="A20" s="3" t="s">
        <v>48</v>
      </c>
      <c r="B20">
        <v>43.84</v>
      </c>
      <c r="C20">
        <v>45.32</v>
      </c>
      <c r="D20">
        <v>48.51</v>
      </c>
      <c r="E20">
        <v>52</v>
      </c>
      <c r="F20">
        <v>37</v>
      </c>
      <c r="G20">
        <v>45</v>
      </c>
      <c r="H20">
        <v>59</v>
      </c>
      <c r="I20">
        <v>71</v>
      </c>
      <c r="J20">
        <v>78</v>
      </c>
      <c r="K20">
        <v>87</v>
      </c>
    </row>
    <row r="21" spans="1:11" s="4" customFormat="1" x14ac:dyDescent="0.25">
      <c r="A21" s="3" t="s">
        <v>49</v>
      </c>
      <c r="B21">
        <v>160.41999999999999</v>
      </c>
      <c r="C21">
        <v>124.83</v>
      </c>
      <c r="D21">
        <v>193.28</v>
      </c>
      <c r="E21">
        <v>215</v>
      </c>
      <c r="F21">
        <v>141</v>
      </c>
      <c r="G21">
        <v>183</v>
      </c>
      <c r="H21">
        <v>225</v>
      </c>
      <c r="I21">
        <v>286</v>
      </c>
      <c r="J21">
        <v>326</v>
      </c>
      <c r="K21">
        <v>375</v>
      </c>
    </row>
    <row r="22" spans="1:11" s="4" customFormat="1" x14ac:dyDescent="0.25">
      <c r="A22" s="3" t="s">
        <v>50</v>
      </c>
      <c r="B22">
        <v>894.32</v>
      </c>
      <c r="C22">
        <v>906.26</v>
      </c>
      <c r="D22">
        <v>1024.44</v>
      </c>
      <c r="E22">
        <v>1204</v>
      </c>
      <c r="F22">
        <v>1069</v>
      </c>
      <c r="G22">
        <v>1356</v>
      </c>
      <c r="H22">
        <v>1656</v>
      </c>
      <c r="I22">
        <v>1875</v>
      </c>
      <c r="J22">
        <v>2164</v>
      </c>
      <c r="K22">
        <v>2692</v>
      </c>
    </row>
    <row r="23" spans="1:11" s="4" customFormat="1" x14ac:dyDescent="0.25">
      <c r="A23" s="3" t="s">
        <v>51</v>
      </c>
      <c r="B23">
        <v>1211.1600000000001</v>
      </c>
      <c r="C23">
        <v>1277.81</v>
      </c>
      <c r="D23">
        <v>1454.32</v>
      </c>
      <c r="E23">
        <v>1470</v>
      </c>
      <c r="F23">
        <v>1029</v>
      </c>
      <c r="G23">
        <v>1697</v>
      </c>
      <c r="H23">
        <v>2715</v>
      </c>
      <c r="I23">
        <v>3249</v>
      </c>
      <c r="J23">
        <v>3494</v>
      </c>
      <c r="K23">
        <v>4185</v>
      </c>
    </row>
    <row r="24" spans="1:11" s="4" customFormat="1" x14ac:dyDescent="0.25">
      <c r="A24" s="3" t="s">
        <v>52</v>
      </c>
      <c r="B24">
        <v>279.76</v>
      </c>
      <c r="C24">
        <v>435.13</v>
      </c>
      <c r="D24">
        <v>669.93</v>
      </c>
      <c r="E24">
        <v>493</v>
      </c>
      <c r="F24">
        <v>1229</v>
      </c>
      <c r="G24">
        <v>533</v>
      </c>
      <c r="H24">
        <v>683</v>
      </c>
      <c r="I24">
        <v>879</v>
      </c>
      <c r="J24">
        <v>1244</v>
      </c>
      <c r="K24">
        <v>1581</v>
      </c>
    </row>
    <row r="25" spans="1:11" s="4" customFormat="1" x14ac:dyDescent="0.25">
      <c r="A25" s="4" t="s">
        <v>4</v>
      </c>
      <c r="B25">
        <v>-42.38</v>
      </c>
      <c r="C25">
        <v>69.930000000000007</v>
      </c>
      <c r="D25">
        <v>178.48</v>
      </c>
      <c r="E25">
        <v>153</v>
      </c>
      <c r="F25">
        <v>180</v>
      </c>
      <c r="G25">
        <v>177</v>
      </c>
      <c r="H25">
        <v>306</v>
      </c>
      <c r="I25">
        <v>534</v>
      </c>
      <c r="J25">
        <v>487</v>
      </c>
      <c r="K25">
        <v>450</v>
      </c>
    </row>
    <row r="26" spans="1:11" s="4" customFormat="1" x14ac:dyDescent="0.25">
      <c r="A26" s="4" t="s">
        <v>5</v>
      </c>
      <c r="B26">
        <v>110.53</v>
      </c>
      <c r="C26">
        <v>131.43</v>
      </c>
      <c r="D26">
        <v>162.84</v>
      </c>
      <c r="E26">
        <v>348</v>
      </c>
      <c r="F26">
        <v>375</v>
      </c>
      <c r="G26">
        <v>399</v>
      </c>
      <c r="H26">
        <v>441</v>
      </c>
      <c r="I26">
        <v>584</v>
      </c>
      <c r="J26">
        <v>693</v>
      </c>
      <c r="K26">
        <v>826</v>
      </c>
    </row>
    <row r="27" spans="1:11" s="4" customFormat="1" x14ac:dyDescent="0.25">
      <c r="A27" s="4" t="s">
        <v>6</v>
      </c>
      <c r="B27">
        <v>37.74</v>
      </c>
      <c r="C27">
        <v>52.92</v>
      </c>
      <c r="D27">
        <v>52.54</v>
      </c>
      <c r="E27">
        <v>166</v>
      </c>
      <c r="F27">
        <v>203</v>
      </c>
      <c r="G27">
        <v>218</v>
      </c>
      <c r="H27">
        <v>300</v>
      </c>
      <c r="I27">
        <v>619</v>
      </c>
      <c r="J27">
        <v>953</v>
      </c>
      <c r="K27">
        <v>1180</v>
      </c>
    </row>
    <row r="28" spans="1:11" s="4" customFormat="1" x14ac:dyDescent="0.25">
      <c r="A28" s="4" t="s">
        <v>7</v>
      </c>
      <c r="B28">
        <v>973.25</v>
      </c>
      <c r="C28">
        <v>1529.78</v>
      </c>
      <c r="D28">
        <v>1956.89</v>
      </c>
      <c r="E28">
        <v>2102</v>
      </c>
      <c r="F28">
        <v>1327</v>
      </c>
      <c r="G28">
        <v>2904</v>
      </c>
      <c r="H28">
        <v>4447</v>
      </c>
      <c r="I28">
        <v>4623</v>
      </c>
      <c r="J28">
        <v>4535</v>
      </c>
      <c r="K28">
        <v>6801</v>
      </c>
    </row>
    <row r="29" spans="1:11" s="4" customFormat="1" x14ac:dyDescent="0.25">
      <c r="A29" s="4" t="s">
        <v>8</v>
      </c>
      <c r="B29">
        <v>275.97000000000003</v>
      </c>
      <c r="C29">
        <v>427.87</v>
      </c>
      <c r="D29">
        <v>568.24</v>
      </c>
      <c r="E29">
        <v>609</v>
      </c>
      <c r="F29">
        <v>353</v>
      </c>
      <c r="G29">
        <v>706</v>
      </c>
      <c r="H29">
        <v>1173</v>
      </c>
      <c r="I29">
        <v>1127</v>
      </c>
      <c r="J29">
        <v>1198</v>
      </c>
      <c r="K29">
        <v>1728</v>
      </c>
    </row>
    <row r="30" spans="1:11" s="4" customFormat="1" x14ac:dyDescent="0.25">
      <c r="A30" s="4" t="s">
        <v>9</v>
      </c>
      <c r="B30">
        <v>711.47</v>
      </c>
      <c r="C30">
        <v>1130.0899999999999</v>
      </c>
      <c r="D30">
        <v>1404.15</v>
      </c>
      <c r="E30">
        <v>1501</v>
      </c>
      <c r="F30">
        <v>973</v>
      </c>
      <c r="G30">
        <v>2173</v>
      </c>
      <c r="H30">
        <v>3250</v>
      </c>
      <c r="I30">
        <v>3496</v>
      </c>
      <c r="J30">
        <v>3337</v>
      </c>
      <c r="K30">
        <v>5073</v>
      </c>
    </row>
    <row r="31" spans="1:11" s="4" customFormat="1" x14ac:dyDescent="0.25">
      <c r="A31" s="4" t="s">
        <v>36</v>
      </c>
      <c r="B31">
        <v>230.83</v>
      </c>
      <c r="C31">
        <v>332.92</v>
      </c>
      <c r="D31">
        <v>443.9</v>
      </c>
      <c r="E31">
        <v>356</v>
      </c>
      <c r="F31">
        <v>356</v>
      </c>
      <c r="G31">
        <v>667.5</v>
      </c>
      <c r="H31">
        <v>890</v>
      </c>
      <c r="I31">
        <v>979</v>
      </c>
      <c r="J31">
        <v>979</v>
      </c>
      <c r="K31">
        <v>1335</v>
      </c>
    </row>
    <row r="32" spans="1:11" s="4" customFormat="1" x14ac:dyDescent="0.25"/>
    <row r="33" spans="1:11" x14ac:dyDescent="0.25">
      <c r="A33" s="4"/>
    </row>
    <row r="34" spans="1:11" x14ac:dyDescent="0.25">
      <c r="A34" s="4"/>
    </row>
    <row r="35" spans="1:11" x14ac:dyDescent="0.25">
      <c r="A35" s="4"/>
    </row>
    <row r="36" spans="1:11" x14ac:dyDescent="0.25">
      <c r="A36" s="4"/>
    </row>
    <row r="37" spans="1:11" x14ac:dyDescent="0.25">
      <c r="A37" s="4"/>
    </row>
    <row r="38" spans="1:11" x14ac:dyDescent="0.25">
      <c r="A38" s="4"/>
    </row>
    <row r="39" spans="1:11" x14ac:dyDescent="0.25">
      <c r="A39" s="4"/>
    </row>
    <row r="40" spans="1:11" x14ac:dyDescent="0.25">
      <c r="A40" s="1" t="s">
        <v>25</v>
      </c>
    </row>
    <row r="41" spans="1:11" s="7" customFormat="1" x14ac:dyDescent="0.25">
      <c r="A41" s="6" t="s">
        <v>24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4" customFormat="1" x14ac:dyDescent="0.25">
      <c r="A42" s="4" t="s">
        <v>1</v>
      </c>
      <c r="B42">
        <v>12494</v>
      </c>
      <c r="C42">
        <v>13266</v>
      </c>
      <c r="D42">
        <v>14534</v>
      </c>
      <c r="E42">
        <v>17740</v>
      </c>
      <c r="F42">
        <v>14916</v>
      </c>
      <c r="G42">
        <v>16523</v>
      </c>
      <c r="H42">
        <v>18725</v>
      </c>
      <c r="I42">
        <v>25416</v>
      </c>
      <c r="J42">
        <v>26920</v>
      </c>
      <c r="K42">
        <v>21356</v>
      </c>
    </row>
    <row r="43" spans="1:11" s="4" customFormat="1" x14ac:dyDescent="0.25">
      <c r="A43" s="4" t="s">
        <v>2</v>
      </c>
      <c r="B43">
        <v>11303</v>
      </c>
      <c r="C43">
        <v>12019</v>
      </c>
      <c r="D43">
        <v>13298</v>
      </c>
      <c r="E43">
        <v>16066</v>
      </c>
      <c r="F43">
        <v>13379</v>
      </c>
      <c r="G43">
        <v>14693</v>
      </c>
      <c r="H43">
        <v>16850</v>
      </c>
      <c r="I43">
        <v>22703</v>
      </c>
      <c r="J43">
        <v>24982</v>
      </c>
      <c r="K43">
        <v>18466</v>
      </c>
    </row>
    <row r="44" spans="1:11" s="4" customFormat="1" x14ac:dyDescent="0.25">
      <c r="A44" s="4" t="s">
        <v>4</v>
      </c>
      <c r="B44">
        <v>159</v>
      </c>
      <c r="C44">
        <v>120</v>
      </c>
      <c r="D44">
        <v>123</v>
      </c>
      <c r="E44">
        <v>128</v>
      </c>
      <c r="F44">
        <v>116</v>
      </c>
      <c r="G44">
        <v>105</v>
      </c>
      <c r="H44">
        <v>113</v>
      </c>
      <c r="I44">
        <v>-1</v>
      </c>
      <c r="J44">
        <v>235</v>
      </c>
      <c r="K44">
        <v>148</v>
      </c>
    </row>
    <row r="45" spans="1:11" s="4" customFormat="1" x14ac:dyDescent="0.25">
      <c r="A45" s="4" t="s">
        <v>5</v>
      </c>
      <c r="B45">
        <v>158</v>
      </c>
      <c r="C45">
        <v>164</v>
      </c>
      <c r="D45">
        <v>171</v>
      </c>
      <c r="E45">
        <v>175</v>
      </c>
      <c r="F45">
        <v>183</v>
      </c>
      <c r="G45">
        <v>184</v>
      </c>
      <c r="H45">
        <v>189</v>
      </c>
      <c r="I45">
        <v>207</v>
      </c>
      <c r="J45">
        <v>246</v>
      </c>
      <c r="K45">
        <v>256</v>
      </c>
    </row>
    <row r="46" spans="1:11" s="4" customFormat="1" x14ac:dyDescent="0.25">
      <c r="A46" s="4" t="s">
        <v>6</v>
      </c>
      <c r="B46">
        <v>201</v>
      </c>
      <c r="C46">
        <v>230</v>
      </c>
      <c r="D46">
        <v>240</v>
      </c>
      <c r="E46">
        <v>231</v>
      </c>
      <c r="F46">
        <v>252</v>
      </c>
      <c r="G46">
        <v>271</v>
      </c>
      <c r="H46">
        <v>277</v>
      </c>
      <c r="I46">
        <v>282</v>
      </c>
      <c r="J46">
        <v>350</v>
      </c>
      <c r="K46">
        <v>353</v>
      </c>
    </row>
    <row r="47" spans="1:11" s="4" customFormat="1" x14ac:dyDescent="0.25">
      <c r="A47" s="4" t="s">
        <v>7</v>
      </c>
      <c r="B47">
        <v>991</v>
      </c>
      <c r="C47">
        <v>973</v>
      </c>
      <c r="D47">
        <v>948</v>
      </c>
      <c r="E47">
        <v>1396</v>
      </c>
      <c r="F47">
        <v>1218</v>
      </c>
      <c r="G47">
        <v>1480</v>
      </c>
      <c r="H47">
        <v>1522</v>
      </c>
      <c r="I47">
        <v>2223</v>
      </c>
      <c r="J47">
        <v>1577</v>
      </c>
      <c r="K47">
        <v>2429</v>
      </c>
    </row>
    <row r="48" spans="1:11" s="4" customFormat="1" x14ac:dyDescent="0.25">
      <c r="A48" s="4" t="s">
        <v>8</v>
      </c>
      <c r="B48">
        <v>220</v>
      </c>
      <c r="C48">
        <v>258</v>
      </c>
      <c r="D48">
        <v>244</v>
      </c>
      <c r="E48">
        <v>349</v>
      </c>
      <c r="F48">
        <v>347</v>
      </c>
      <c r="G48">
        <v>389</v>
      </c>
      <c r="H48">
        <v>402</v>
      </c>
      <c r="I48">
        <v>539</v>
      </c>
      <c r="J48">
        <v>398</v>
      </c>
      <c r="K48">
        <v>652</v>
      </c>
    </row>
    <row r="49" spans="1:11" s="4" customFormat="1" x14ac:dyDescent="0.25">
      <c r="A49" s="4" t="s">
        <v>9</v>
      </c>
      <c r="B49">
        <v>771</v>
      </c>
      <c r="C49">
        <v>715</v>
      </c>
      <c r="D49">
        <v>704</v>
      </c>
      <c r="E49">
        <v>1047</v>
      </c>
      <c r="F49">
        <v>871</v>
      </c>
      <c r="G49">
        <v>1091</v>
      </c>
      <c r="H49">
        <v>1120</v>
      </c>
      <c r="I49">
        <v>1684</v>
      </c>
      <c r="J49">
        <v>1179</v>
      </c>
      <c r="K49">
        <v>1777</v>
      </c>
    </row>
    <row r="50" spans="1:11" x14ac:dyDescent="0.25">
      <c r="A50" s="4" t="s">
        <v>3</v>
      </c>
      <c r="B50">
        <v>1191</v>
      </c>
      <c r="C50">
        <v>1247</v>
      </c>
      <c r="D50">
        <v>1236</v>
      </c>
      <c r="E50">
        <v>1674</v>
      </c>
      <c r="F50">
        <v>1537</v>
      </c>
      <c r="G50">
        <v>1830</v>
      </c>
      <c r="H50">
        <v>1875</v>
      </c>
      <c r="I50">
        <v>2713</v>
      </c>
      <c r="J50">
        <v>1938</v>
      </c>
      <c r="K50">
        <v>2890</v>
      </c>
    </row>
    <row r="51" spans="1:11" x14ac:dyDescent="0.25">
      <c r="A51" s="4"/>
    </row>
    <row r="52" spans="1:11" x14ac:dyDescent="0.25">
      <c r="A52" s="4"/>
    </row>
    <row r="53" spans="1:11" x14ac:dyDescent="0.25">
      <c r="A53" s="4"/>
    </row>
    <row r="54" spans="1:11" x14ac:dyDescent="0.25">
      <c r="A54" s="4"/>
    </row>
    <row r="55" spans="1:11" x14ac:dyDescent="0.25">
      <c r="A55" s="1" t="s">
        <v>26</v>
      </c>
    </row>
    <row r="56" spans="1:11" s="7" customFormat="1" x14ac:dyDescent="0.25">
      <c r="A56" s="6" t="s">
        <v>24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5">
      <c r="A57" s="4" t="s">
        <v>11</v>
      </c>
      <c r="B57">
        <v>88.78</v>
      </c>
      <c r="C57">
        <v>88.78</v>
      </c>
      <c r="D57">
        <v>88.78</v>
      </c>
      <c r="E57">
        <v>89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</row>
    <row r="58" spans="1:11" x14ac:dyDescent="0.25">
      <c r="A58" s="4" t="s">
        <v>12</v>
      </c>
      <c r="B58">
        <v>4143.6000000000004</v>
      </c>
      <c r="C58">
        <v>5001.1000000000004</v>
      </c>
      <c r="D58">
        <v>5981.37</v>
      </c>
      <c r="E58">
        <v>6580</v>
      </c>
      <c r="F58">
        <v>7408</v>
      </c>
      <c r="G58">
        <v>9214</v>
      </c>
      <c r="H58">
        <v>11762</v>
      </c>
      <c r="I58">
        <v>9304</v>
      </c>
      <c r="J58">
        <v>11535</v>
      </c>
      <c r="K58">
        <v>15614</v>
      </c>
    </row>
    <row r="59" spans="1:11" x14ac:dyDescent="0.25">
      <c r="A59" s="4" t="s">
        <v>37</v>
      </c>
      <c r="B59">
        <v>1882.43</v>
      </c>
      <c r="C59">
        <v>1691.01</v>
      </c>
      <c r="D59">
        <v>2392.98</v>
      </c>
      <c r="E59">
        <v>3562</v>
      </c>
      <c r="F59">
        <v>5638</v>
      </c>
      <c r="G59">
        <v>7275</v>
      </c>
      <c r="H59">
        <v>9367</v>
      </c>
      <c r="I59">
        <v>15528</v>
      </c>
      <c r="J59">
        <v>20777</v>
      </c>
      <c r="K59">
        <v>30621</v>
      </c>
    </row>
    <row r="60" spans="1:11" x14ac:dyDescent="0.25">
      <c r="A60" s="4" t="s">
        <v>38</v>
      </c>
      <c r="B60">
        <v>2292.7600000000002</v>
      </c>
      <c r="C60">
        <v>2740.15</v>
      </c>
      <c r="D60">
        <v>3246.71</v>
      </c>
      <c r="E60">
        <v>3313</v>
      </c>
      <c r="F60">
        <v>3309</v>
      </c>
      <c r="G60">
        <v>4610</v>
      </c>
      <c r="H60">
        <v>5802</v>
      </c>
      <c r="I60">
        <v>6626</v>
      </c>
      <c r="J60">
        <v>8244</v>
      </c>
      <c r="K60">
        <v>14237</v>
      </c>
    </row>
    <row r="61" spans="1:11" s="1" customFormat="1" x14ac:dyDescent="0.25">
      <c r="A61" s="1" t="s">
        <v>13</v>
      </c>
      <c r="B61">
        <v>8407.57</v>
      </c>
      <c r="C61">
        <v>9521.0400000000009</v>
      </c>
      <c r="D61">
        <v>11709.84</v>
      </c>
      <c r="E61">
        <v>13544</v>
      </c>
      <c r="F61">
        <v>16444</v>
      </c>
      <c r="G61">
        <v>21188</v>
      </c>
      <c r="H61">
        <v>27020</v>
      </c>
      <c r="I61">
        <v>31547</v>
      </c>
      <c r="J61">
        <v>40645</v>
      </c>
      <c r="K61">
        <v>60561</v>
      </c>
    </row>
    <row r="62" spans="1:11" x14ac:dyDescent="0.25">
      <c r="A62" s="4" t="s">
        <v>14</v>
      </c>
      <c r="B62">
        <v>1188.72</v>
      </c>
      <c r="C62">
        <v>1473.81</v>
      </c>
      <c r="D62">
        <v>1566.63</v>
      </c>
      <c r="E62">
        <v>2633</v>
      </c>
      <c r="F62">
        <v>2523</v>
      </c>
      <c r="G62">
        <v>2544</v>
      </c>
      <c r="H62">
        <v>2998</v>
      </c>
      <c r="I62">
        <v>3709</v>
      </c>
      <c r="J62">
        <v>4062</v>
      </c>
      <c r="K62">
        <v>6878</v>
      </c>
    </row>
    <row r="63" spans="1:11" x14ac:dyDescent="0.25">
      <c r="A63" s="4" t="s">
        <v>15</v>
      </c>
      <c r="B63">
        <v>152.07</v>
      </c>
      <c r="C63">
        <v>43.37</v>
      </c>
      <c r="D63">
        <v>31.77</v>
      </c>
      <c r="E63">
        <v>18</v>
      </c>
      <c r="F63">
        <v>32</v>
      </c>
      <c r="G63">
        <v>85</v>
      </c>
      <c r="H63">
        <v>144</v>
      </c>
      <c r="I63">
        <v>97</v>
      </c>
      <c r="J63">
        <v>105</v>
      </c>
      <c r="K63">
        <v>163</v>
      </c>
    </row>
    <row r="64" spans="1:11" x14ac:dyDescent="0.25">
      <c r="A64" s="4" t="s">
        <v>16</v>
      </c>
      <c r="B64">
        <v>430.73</v>
      </c>
      <c r="C64">
        <v>35.99</v>
      </c>
      <c r="D64">
        <v>108.42</v>
      </c>
      <c r="E64">
        <v>158</v>
      </c>
      <c r="F64">
        <v>2824</v>
      </c>
      <c r="G64">
        <v>294</v>
      </c>
      <c r="H64">
        <v>2515</v>
      </c>
      <c r="I64">
        <v>2345</v>
      </c>
      <c r="J64">
        <v>1988</v>
      </c>
      <c r="K64">
        <v>3506</v>
      </c>
    </row>
    <row r="65" spans="1:11" x14ac:dyDescent="0.25">
      <c r="A65" s="4" t="s">
        <v>39</v>
      </c>
      <c r="B65">
        <v>6636.05</v>
      </c>
      <c r="C65">
        <v>7967.87</v>
      </c>
      <c r="D65">
        <v>10003.02</v>
      </c>
      <c r="E65">
        <v>10735</v>
      </c>
      <c r="F65">
        <v>11065</v>
      </c>
      <c r="G65">
        <v>18265</v>
      </c>
      <c r="H65">
        <v>21363</v>
      </c>
      <c r="I65">
        <v>25396</v>
      </c>
      <c r="J65">
        <v>34490</v>
      </c>
      <c r="K65">
        <v>50014</v>
      </c>
    </row>
    <row r="66" spans="1:11" s="1" customFormat="1" x14ac:dyDescent="0.25">
      <c r="A66" s="1" t="s">
        <v>13</v>
      </c>
      <c r="B66">
        <v>8407.57</v>
      </c>
      <c r="C66">
        <v>9521.0400000000009</v>
      </c>
      <c r="D66">
        <v>11709.84</v>
      </c>
      <c r="E66">
        <v>13544</v>
      </c>
      <c r="F66">
        <v>16444</v>
      </c>
      <c r="G66">
        <v>21188</v>
      </c>
      <c r="H66">
        <v>27020</v>
      </c>
      <c r="I66">
        <v>31547</v>
      </c>
      <c r="J66">
        <v>40645</v>
      </c>
      <c r="K66">
        <v>60561</v>
      </c>
    </row>
    <row r="67" spans="1:11" s="4" customFormat="1" x14ac:dyDescent="0.25">
      <c r="A67" s="4" t="s">
        <v>44</v>
      </c>
      <c r="B67">
        <v>207.6</v>
      </c>
      <c r="C67">
        <v>295.69</v>
      </c>
      <c r="D67">
        <v>420.45</v>
      </c>
      <c r="E67">
        <v>312</v>
      </c>
      <c r="F67">
        <v>366</v>
      </c>
      <c r="G67">
        <v>565</v>
      </c>
      <c r="H67">
        <v>674</v>
      </c>
      <c r="I67">
        <v>1018</v>
      </c>
      <c r="J67">
        <v>1068</v>
      </c>
      <c r="K67">
        <v>916</v>
      </c>
    </row>
    <row r="68" spans="1:11" x14ac:dyDescent="0.25">
      <c r="A68" s="4" t="s">
        <v>30</v>
      </c>
      <c r="B68">
        <v>4925.74</v>
      </c>
      <c r="C68">
        <v>5924.84</v>
      </c>
      <c r="D68">
        <v>7038.82</v>
      </c>
      <c r="E68">
        <v>8103</v>
      </c>
      <c r="F68">
        <v>8408</v>
      </c>
      <c r="G68">
        <v>13609</v>
      </c>
      <c r="H68">
        <v>16584</v>
      </c>
      <c r="I68">
        <v>19051</v>
      </c>
      <c r="J68">
        <v>28184</v>
      </c>
      <c r="K68">
        <v>42743</v>
      </c>
    </row>
    <row r="69" spans="1:11" x14ac:dyDescent="0.25">
      <c r="A69" s="3" t="s">
        <v>53</v>
      </c>
      <c r="B69">
        <v>778.93</v>
      </c>
      <c r="C69">
        <v>617.91</v>
      </c>
      <c r="D69">
        <v>1066.48</v>
      </c>
      <c r="E69">
        <v>381</v>
      </c>
      <c r="F69">
        <v>560</v>
      </c>
      <c r="G69">
        <v>1573</v>
      </c>
      <c r="H69">
        <v>1343</v>
      </c>
      <c r="I69">
        <v>1526</v>
      </c>
      <c r="J69">
        <v>1584</v>
      </c>
      <c r="K69">
        <v>1917</v>
      </c>
    </row>
    <row r="70" spans="1:11" x14ac:dyDescent="0.25">
      <c r="A70" s="3" t="s">
        <v>40</v>
      </c>
      <c r="B70">
        <v>887786160</v>
      </c>
      <c r="C70">
        <v>887786160</v>
      </c>
      <c r="D70">
        <v>887786160</v>
      </c>
      <c r="E70">
        <v>887786160</v>
      </c>
      <c r="F70">
        <v>887786160</v>
      </c>
      <c r="G70">
        <v>887786160</v>
      </c>
      <c r="H70">
        <v>890000000</v>
      </c>
      <c r="I70">
        <v>890000000</v>
      </c>
      <c r="J70">
        <v>890000000</v>
      </c>
      <c r="K70">
        <v>890000000</v>
      </c>
    </row>
    <row r="71" spans="1:11" x14ac:dyDescent="0.25">
      <c r="A71" s="3" t="s">
        <v>41</v>
      </c>
    </row>
    <row r="72" spans="1:11" x14ac:dyDescent="0.25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4"/>
    </row>
    <row r="75" spans="1:11" x14ac:dyDescent="0.25">
      <c r="A75" s="4"/>
    </row>
    <row r="76" spans="1:11" x14ac:dyDescent="0.25">
      <c r="A76" s="4"/>
    </row>
    <row r="77" spans="1:11" x14ac:dyDescent="0.25">
      <c r="A77" s="4"/>
    </row>
    <row r="78" spans="1:11" x14ac:dyDescent="0.25">
      <c r="A78" s="4"/>
    </row>
    <row r="79" spans="1:11" x14ac:dyDescent="0.25">
      <c r="A79" s="4"/>
    </row>
    <row r="80" spans="1:11" x14ac:dyDescent="0.25">
      <c r="A80" s="1" t="s">
        <v>27</v>
      </c>
    </row>
    <row r="81" spans="1:11" s="7" customFormat="1" x14ac:dyDescent="0.25">
      <c r="A81" s="6" t="s">
        <v>24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25">
      <c r="A82" s="4" t="s">
        <v>18</v>
      </c>
      <c r="B82">
        <v>1712.3</v>
      </c>
      <c r="C82">
        <v>-51.12</v>
      </c>
      <c r="D82">
        <v>1242.92</v>
      </c>
      <c r="E82">
        <v>-348</v>
      </c>
      <c r="F82">
        <v>4139</v>
      </c>
      <c r="G82">
        <v>-724</v>
      </c>
      <c r="H82">
        <v>1370</v>
      </c>
      <c r="I82">
        <v>1695</v>
      </c>
      <c r="J82">
        <v>-541</v>
      </c>
      <c r="K82">
        <v>5590</v>
      </c>
    </row>
    <row r="83" spans="1:11" s="4" customFormat="1" x14ac:dyDescent="0.25">
      <c r="A83" s="4" t="s">
        <v>19</v>
      </c>
      <c r="B83">
        <v>-953.15</v>
      </c>
      <c r="C83">
        <v>97.62</v>
      </c>
      <c r="D83">
        <v>-796.61</v>
      </c>
      <c r="E83">
        <v>235</v>
      </c>
      <c r="F83">
        <v>-2799</v>
      </c>
      <c r="G83">
        <v>1165</v>
      </c>
      <c r="H83">
        <v>-1814</v>
      </c>
      <c r="I83">
        <v>-189</v>
      </c>
      <c r="J83">
        <v>546</v>
      </c>
      <c r="K83">
        <v>-2965</v>
      </c>
    </row>
    <row r="84" spans="1:11" s="4" customFormat="1" x14ac:dyDescent="0.25">
      <c r="A84" s="4" t="s">
        <v>20</v>
      </c>
      <c r="B84">
        <v>-165.6</v>
      </c>
      <c r="C84">
        <v>-252.45</v>
      </c>
      <c r="D84">
        <v>-488.83</v>
      </c>
      <c r="E84">
        <v>-242</v>
      </c>
      <c r="F84">
        <v>-1234</v>
      </c>
      <c r="G84">
        <v>-403</v>
      </c>
      <c r="H84">
        <v>457</v>
      </c>
      <c r="I84">
        <v>-1329</v>
      </c>
      <c r="J84">
        <v>-7</v>
      </c>
      <c r="K84">
        <v>-2159</v>
      </c>
    </row>
    <row r="85" spans="1:11" s="1" customFormat="1" x14ac:dyDescent="0.25">
      <c r="A85" s="4" t="s">
        <v>21</v>
      </c>
      <c r="B85">
        <v>593.54999999999995</v>
      </c>
      <c r="C85">
        <v>-205.95</v>
      </c>
      <c r="D85">
        <v>-42.52</v>
      </c>
      <c r="E85">
        <v>-355</v>
      </c>
      <c r="F85">
        <v>106</v>
      </c>
      <c r="G85">
        <v>38</v>
      </c>
      <c r="H85">
        <v>13</v>
      </c>
      <c r="I85">
        <v>177</v>
      </c>
      <c r="J85">
        <v>-2</v>
      </c>
      <c r="K85">
        <v>466</v>
      </c>
    </row>
    <row r="86" spans="1:11" x14ac:dyDescent="0.25">
      <c r="A86" s="4"/>
    </row>
    <row r="87" spans="1:11" x14ac:dyDescent="0.25">
      <c r="A87" s="4"/>
    </row>
    <row r="88" spans="1:11" x14ac:dyDescent="0.25">
      <c r="A88" s="4"/>
    </row>
    <row r="89" spans="1:11" x14ac:dyDescent="0.25">
      <c r="A89" s="4"/>
    </row>
    <row r="90" spans="1:11" s="1" customFormat="1" x14ac:dyDescent="0.25">
      <c r="A90" s="1" t="s">
        <v>43</v>
      </c>
      <c r="B90">
        <v>462.75</v>
      </c>
      <c r="C90">
        <v>942.3</v>
      </c>
      <c r="D90">
        <v>1141.8499999999999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</row>
    <row r="92" spans="1:11" s="1" customFormat="1" x14ac:dyDescent="0.25">
      <c r="A92" s="1" t="s">
        <v>42</v>
      </c>
    </row>
    <row r="93" spans="1:11" x14ac:dyDescent="0.25">
      <c r="A93" s="3" t="s">
        <v>55</v>
      </c>
      <c r="B93" s="8">
        <v>88.78</v>
      </c>
      <c r="C93" s="8">
        <v>88.78</v>
      </c>
      <c r="D93" s="8">
        <v>88.78</v>
      </c>
      <c r="E93" s="8">
        <v>88.78</v>
      </c>
      <c r="F93" s="8">
        <v>88.78</v>
      </c>
      <c r="G93" s="8">
        <v>88.78</v>
      </c>
      <c r="H93" s="8">
        <v>88.78</v>
      </c>
      <c r="I93" s="8">
        <v>88.78</v>
      </c>
      <c r="J93" s="8">
        <v>88.78</v>
      </c>
      <c r="K93" s="8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3F46-7600-4FAE-A9D6-D53F41642A9C}">
  <sheetPr codeName="Sheet10">
    <tabColor rgb="FFFFFF00"/>
  </sheetPr>
  <dimension ref="B2:N33"/>
  <sheetViews>
    <sheetView showGridLines="0" workbookViewId="0">
      <selection activeCell="O20" sqref="O20"/>
    </sheetView>
  </sheetViews>
  <sheetFormatPr defaultRowHeight="15" x14ac:dyDescent="0.25"/>
  <cols>
    <col min="2" max="2" width="28" bestFit="1" customWidth="1"/>
    <col min="3" max="14" width="11.28515625" customWidth="1"/>
  </cols>
  <sheetData>
    <row r="2" spans="2:14" x14ac:dyDescent="0.25">
      <c r="B2" s="119"/>
      <c r="C2" s="120">
        <v>42064</v>
      </c>
      <c r="D2" s="120">
        <v>42430</v>
      </c>
      <c r="E2" s="120">
        <v>42795</v>
      </c>
      <c r="F2" s="120">
        <v>43160</v>
      </c>
      <c r="G2" s="120">
        <v>43525</v>
      </c>
      <c r="H2" s="120">
        <v>43891</v>
      </c>
      <c r="I2" s="120">
        <v>44256</v>
      </c>
      <c r="J2" s="120">
        <v>44621</v>
      </c>
      <c r="K2" s="120">
        <v>44986</v>
      </c>
      <c r="L2" s="120">
        <v>45352</v>
      </c>
      <c r="M2" s="120">
        <v>45717</v>
      </c>
      <c r="N2" s="120">
        <v>46082</v>
      </c>
    </row>
    <row r="3" spans="2:14" x14ac:dyDescent="0.25">
      <c r="B3" s="69" t="s">
        <v>90</v>
      </c>
      <c r="C3" s="69">
        <v>503</v>
      </c>
      <c r="D3" s="116">
        <v>576</v>
      </c>
      <c r="E3" s="117">
        <v>1712</v>
      </c>
      <c r="F3" s="69">
        <v>-51</v>
      </c>
      <c r="G3" s="117">
        <v>1243</v>
      </c>
      <c r="H3" s="69">
        <v>-348</v>
      </c>
      <c r="I3" s="117">
        <v>4139</v>
      </c>
      <c r="J3" s="69">
        <v>-724</v>
      </c>
      <c r="K3" s="117">
        <v>1370</v>
      </c>
      <c r="L3" s="117">
        <v>1695</v>
      </c>
      <c r="M3" s="69">
        <v>-541</v>
      </c>
      <c r="N3" s="117">
        <v>5590</v>
      </c>
    </row>
    <row r="4" spans="2:14" x14ac:dyDescent="0.25">
      <c r="B4" s="69" t="s">
        <v>91</v>
      </c>
      <c r="C4" s="117">
        <v>1163</v>
      </c>
      <c r="D4" s="116">
        <v>942</v>
      </c>
      <c r="E4" s="117">
        <v>1073</v>
      </c>
      <c r="F4" s="117">
        <v>1642</v>
      </c>
      <c r="G4" s="117">
        <v>2183</v>
      </c>
      <c r="H4" s="117">
        <v>2481</v>
      </c>
      <c r="I4" s="117">
        <v>1789</v>
      </c>
      <c r="J4" s="117">
        <v>3298</v>
      </c>
      <c r="K4" s="117">
        <v>4937</v>
      </c>
      <c r="L4" s="117">
        <v>5404</v>
      </c>
      <c r="M4" s="117">
        <v>5774</v>
      </c>
      <c r="N4" s="117">
        <v>8447</v>
      </c>
    </row>
    <row r="5" spans="2:14" x14ac:dyDescent="0.25">
      <c r="B5" s="69" t="s">
        <v>44</v>
      </c>
      <c r="C5" s="69">
        <v>-39</v>
      </c>
      <c r="D5" s="116">
        <v>0</v>
      </c>
      <c r="E5" s="69">
        <v>-12</v>
      </c>
      <c r="F5" s="69">
        <v>-90</v>
      </c>
      <c r="G5" s="69">
        <v>-139</v>
      </c>
      <c r="H5" s="69">
        <v>109</v>
      </c>
      <c r="I5" s="69">
        <v>-59</v>
      </c>
      <c r="J5" s="69">
        <v>-207</v>
      </c>
      <c r="K5" s="69">
        <v>-112</v>
      </c>
      <c r="L5" s="69">
        <v>-348</v>
      </c>
      <c r="M5" s="69">
        <v>-95</v>
      </c>
      <c r="N5" s="69">
        <v>210</v>
      </c>
    </row>
    <row r="6" spans="2:14" x14ac:dyDescent="0.25">
      <c r="B6" s="69" t="s">
        <v>30</v>
      </c>
      <c r="C6" s="69">
        <v>-180</v>
      </c>
      <c r="D6" s="116">
        <v>-398</v>
      </c>
      <c r="E6" s="69">
        <v>-448</v>
      </c>
      <c r="F6" s="69">
        <v>-996</v>
      </c>
      <c r="G6" s="117">
        <v>-1120</v>
      </c>
      <c r="H6" s="117">
        <v>-1057</v>
      </c>
      <c r="I6" s="69">
        <v>-316</v>
      </c>
      <c r="J6" s="117">
        <v>-5199</v>
      </c>
      <c r="K6" s="117">
        <v>-2977</v>
      </c>
      <c r="L6" s="117">
        <v>-2462</v>
      </c>
      <c r="M6" s="117">
        <v>-9072</v>
      </c>
      <c r="N6" s="117">
        <v>-11592</v>
      </c>
    </row>
    <row r="7" spans="2:14" x14ac:dyDescent="0.25">
      <c r="B7" s="69" t="s">
        <v>92</v>
      </c>
      <c r="C7" s="117">
        <v>1079</v>
      </c>
      <c r="D7" s="116">
        <v>-245</v>
      </c>
      <c r="E7" s="69">
        <v>238</v>
      </c>
      <c r="F7" s="69">
        <v>95</v>
      </c>
      <c r="G7" s="69">
        <v>32</v>
      </c>
      <c r="H7" s="69">
        <v>-310</v>
      </c>
      <c r="I7" s="69">
        <v>195</v>
      </c>
      <c r="J7" s="69">
        <v>504</v>
      </c>
      <c r="K7" s="69">
        <v>-89</v>
      </c>
      <c r="L7" s="69">
        <v>196</v>
      </c>
      <c r="M7" s="69">
        <v>564</v>
      </c>
      <c r="N7" s="69">
        <v>472</v>
      </c>
    </row>
    <row r="8" spans="2:14" x14ac:dyDescent="0.25">
      <c r="B8" s="69" t="s">
        <v>93</v>
      </c>
      <c r="C8" s="69">
        <v>-71</v>
      </c>
      <c r="D8" s="116">
        <v>-66</v>
      </c>
      <c r="E8" s="69">
        <v>0</v>
      </c>
      <c r="F8" s="69">
        <v>3</v>
      </c>
      <c r="G8" s="69">
        <v>-24</v>
      </c>
      <c r="H8" s="69">
        <v>-20</v>
      </c>
      <c r="I8" s="69">
        <v>-8</v>
      </c>
      <c r="J8" s="69">
        <v>-3</v>
      </c>
      <c r="K8" s="69">
        <v>-18</v>
      </c>
      <c r="L8" s="69">
        <v>-21</v>
      </c>
      <c r="M8" s="69">
        <v>4</v>
      </c>
      <c r="N8" s="69">
        <v>-8</v>
      </c>
    </row>
    <row r="9" spans="2:14" x14ac:dyDescent="0.25">
      <c r="B9" s="69" t="s">
        <v>94</v>
      </c>
      <c r="C9" s="69">
        <v>0</v>
      </c>
      <c r="D9" s="116">
        <v>0</v>
      </c>
      <c r="E9" s="69">
        <v>763</v>
      </c>
      <c r="F9" s="69">
        <v>-270</v>
      </c>
      <c r="G9" s="69">
        <v>741</v>
      </c>
      <c r="H9" s="69">
        <v>-768</v>
      </c>
      <c r="I9" s="117">
        <v>2625</v>
      </c>
      <c r="J9" s="117">
        <v>1188</v>
      </c>
      <c r="K9" s="69">
        <v>-99</v>
      </c>
      <c r="L9" s="69">
        <v>42</v>
      </c>
      <c r="M9" s="117">
        <v>2468</v>
      </c>
      <c r="N9" s="117">
        <v>7304</v>
      </c>
    </row>
    <row r="10" spans="2:14" x14ac:dyDescent="0.25">
      <c r="B10" s="69" t="s">
        <v>95</v>
      </c>
      <c r="C10" s="117">
        <v>-1204</v>
      </c>
      <c r="D10" s="116">
        <v>545</v>
      </c>
      <c r="E10" s="69">
        <v>375</v>
      </c>
      <c r="F10" s="69">
        <v>22</v>
      </c>
      <c r="G10" s="69">
        <v>206</v>
      </c>
      <c r="H10" s="69">
        <v>-226</v>
      </c>
      <c r="I10" s="69">
        <v>184</v>
      </c>
      <c r="J10" s="69">
        <v>497</v>
      </c>
      <c r="K10" s="69">
        <v>882</v>
      </c>
      <c r="L10" s="69">
        <v>57</v>
      </c>
      <c r="M10" s="69">
        <v>905</v>
      </c>
      <c r="N10" s="117">
        <v>2494</v>
      </c>
    </row>
    <row r="11" spans="2:14" x14ac:dyDescent="0.25">
      <c r="B11" s="69" t="s">
        <v>96</v>
      </c>
      <c r="C11" s="69">
        <v>-415</v>
      </c>
      <c r="D11" s="116">
        <v>-163</v>
      </c>
      <c r="E11" s="69">
        <v>916</v>
      </c>
      <c r="F11" s="117">
        <v>-1237</v>
      </c>
      <c r="G11" s="69">
        <v>-304</v>
      </c>
      <c r="H11" s="117">
        <v>-2272</v>
      </c>
      <c r="I11" s="117">
        <v>2621</v>
      </c>
      <c r="J11" s="117">
        <v>-3220</v>
      </c>
      <c r="K11" s="117">
        <v>-2413</v>
      </c>
      <c r="L11" s="117">
        <v>-2536</v>
      </c>
      <c r="M11" s="117">
        <v>-5226</v>
      </c>
      <c r="N11" s="117">
        <v>-1120</v>
      </c>
    </row>
    <row r="12" spans="2:14" x14ac:dyDescent="0.25">
      <c r="B12" s="69" t="s">
        <v>97</v>
      </c>
      <c r="C12" s="69">
        <v>-245</v>
      </c>
      <c r="D12" s="116">
        <v>-202</v>
      </c>
      <c r="E12" s="69">
        <v>-277</v>
      </c>
      <c r="F12" s="69">
        <v>-456</v>
      </c>
      <c r="G12" s="69">
        <v>-636</v>
      </c>
      <c r="H12" s="69">
        <v>-557</v>
      </c>
      <c r="I12" s="69">
        <v>-271</v>
      </c>
      <c r="J12" s="69">
        <v>-802</v>
      </c>
      <c r="K12" s="117">
        <v>-1154</v>
      </c>
      <c r="L12" s="117">
        <v>-1173</v>
      </c>
      <c r="M12" s="117">
        <v>-1089</v>
      </c>
      <c r="N12" s="117">
        <v>-1737</v>
      </c>
    </row>
    <row r="13" spans="2:14" x14ac:dyDescent="0.25">
      <c r="B13" s="69" t="s">
        <v>98</v>
      </c>
      <c r="C13" s="69">
        <v>-118</v>
      </c>
      <c r="D13" s="69">
        <v>-159</v>
      </c>
      <c r="E13" s="69">
        <v>-953</v>
      </c>
      <c r="F13" s="69">
        <v>98</v>
      </c>
      <c r="G13" s="69">
        <v>-797</v>
      </c>
      <c r="H13" s="69">
        <v>235</v>
      </c>
      <c r="I13" s="117">
        <v>-2799</v>
      </c>
      <c r="J13" s="117">
        <v>1165</v>
      </c>
      <c r="K13" s="117">
        <v>-1814</v>
      </c>
      <c r="L13" s="69">
        <v>-189</v>
      </c>
      <c r="M13" s="69">
        <v>546</v>
      </c>
      <c r="N13" s="117">
        <v>-2965</v>
      </c>
    </row>
    <row r="14" spans="2:14" x14ac:dyDescent="0.25">
      <c r="B14" s="69" t="s">
        <v>99</v>
      </c>
      <c r="C14" s="69">
        <v>-209</v>
      </c>
      <c r="D14" s="69">
        <v>-254</v>
      </c>
      <c r="E14" s="69">
        <v>-256</v>
      </c>
      <c r="F14" s="69">
        <v>-305</v>
      </c>
      <c r="G14" s="69">
        <v>-265</v>
      </c>
      <c r="H14" s="69">
        <v>-355</v>
      </c>
      <c r="I14" s="69">
        <v>-146</v>
      </c>
      <c r="J14" s="69">
        <v>-224</v>
      </c>
      <c r="K14" s="69">
        <v>-432</v>
      </c>
      <c r="L14" s="69">
        <v>-691</v>
      </c>
      <c r="M14" s="69">
        <v>-494</v>
      </c>
      <c r="N14" s="69">
        <v>-902</v>
      </c>
    </row>
    <row r="15" spans="2:14" x14ac:dyDescent="0.25">
      <c r="B15" s="69" t="s">
        <v>100</v>
      </c>
      <c r="C15" s="69">
        <v>2</v>
      </c>
      <c r="D15" s="69">
        <v>2</v>
      </c>
      <c r="E15" s="69">
        <v>5</v>
      </c>
      <c r="F15" s="69">
        <v>6</v>
      </c>
      <c r="G15" s="69">
        <v>1</v>
      </c>
      <c r="H15" s="69">
        <v>10</v>
      </c>
      <c r="I15" s="69">
        <v>7</v>
      </c>
      <c r="J15" s="69">
        <v>8</v>
      </c>
      <c r="K15" s="69">
        <v>12</v>
      </c>
      <c r="L15" s="69">
        <v>20</v>
      </c>
      <c r="M15" s="69">
        <v>24</v>
      </c>
      <c r="N15" s="69">
        <v>25</v>
      </c>
    </row>
    <row r="16" spans="2:14" x14ac:dyDescent="0.25">
      <c r="B16" s="69" t="s">
        <v>101</v>
      </c>
      <c r="C16" s="69">
        <v>-135</v>
      </c>
      <c r="D16" s="69">
        <v>-1078</v>
      </c>
      <c r="E16" s="69">
        <v>-325</v>
      </c>
      <c r="F16" s="69">
        <v>0</v>
      </c>
      <c r="G16" s="69">
        <v>-36</v>
      </c>
      <c r="H16" s="69">
        <v>-13</v>
      </c>
      <c r="I16" s="117">
        <v>-2656</v>
      </c>
      <c r="J16" s="69">
        <v>-253</v>
      </c>
      <c r="K16" s="117">
        <v>-2104</v>
      </c>
      <c r="L16" s="117">
        <v>-21893</v>
      </c>
      <c r="M16" s="117">
        <v>-15342</v>
      </c>
      <c r="N16" s="117">
        <v>-22035</v>
      </c>
    </row>
    <row r="17" spans="2:14" x14ac:dyDescent="0.25">
      <c r="B17" s="69" t="s">
        <v>102</v>
      </c>
      <c r="C17" s="69">
        <v>135</v>
      </c>
      <c r="D17" s="69">
        <v>1083</v>
      </c>
      <c r="E17" s="69">
        <v>0</v>
      </c>
      <c r="F17" s="69">
        <v>412</v>
      </c>
      <c r="G17" s="69">
        <v>18</v>
      </c>
      <c r="H17" s="69">
        <v>0</v>
      </c>
      <c r="I17" s="69">
        <v>43</v>
      </c>
      <c r="J17" s="117">
        <v>2870</v>
      </c>
      <c r="K17" s="69">
        <v>0</v>
      </c>
      <c r="L17" s="117">
        <v>22213</v>
      </c>
      <c r="M17" s="117">
        <v>15747</v>
      </c>
      <c r="N17" s="117">
        <v>20797</v>
      </c>
    </row>
    <row r="18" spans="2:14" x14ac:dyDescent="0.25">
      <c r="B18" s="69" t="s">
        <v>103</v>
      </c>
      <c r="C18" s="69">
        <v>77</v>
      </c>
      <c r="D18" s="69">
        <v>58</v>
      </c>
      <c r="E18" s="69">
        <v>41</v>
      </c>
      <c r="F18" s="69">
        <v>64</v>
      </c>
      <c r="G18" s="69">
        <v>85</v>
      </c>
      <c r="H18" s="69">
        <v>73</v>
      </c>
      <c r="I18" s="69">
        <v>49</v>
      </c>
      <c r="J18" s="69">
        <v>56</v>
      </c>
      <c r="K18" s="69">
        <v>143</v>
      </c>
      <c r="L18" s="69">
        <v>249</v>
      </c>
      <c r="M18" s="69">
        <v>288</v>
      </c>
      <c r="N18" s="69">
        <v>227</v>
      </c>
    </row>
    <row r="19" spans="2:14" x14ac:dyDescent="0.25">
      <c r="B19" s="69" t="s">
        <v>104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-39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</row>
    <row r="20" spans="2:14" x14ac:dyDescent="0.25">
      <c r="B20" s="69" t="s">
        <v>105</v>
      </c>
      <c r="C20" s="69">
        <v>0</v>
      </c>
      <c r="D20" s="69">
        <v>-18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</row>
    <row r="21" spans="2:14" x14ac:dyDescent="0.25">
      <c r="B21" s="69" t="s">
        <v>106</v>
      </c>
      <c r="C21" s="69">
        <v>0</v>
      </c>
      <c r="D21" s="69">
        <v>0</v>
      </c>
      <c r="E21" s="69">
        <v>-385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</row>
    <row r="22" spans="2:14" x14ac:dyDescent="0.25">
      <c r="B22" s="69" t="s">
        <v>107</v>
      </c>
      <c r="C22" s="69">
        <v>-48</v>
      </c>
      <c r="D22" s="69">
        <v>38</v>
      </c>
      <c r="E22" s="69">
        <v>5</v>
      </c>
      <c r="F22" s="69">
        <v>-35</v>
      </c>
      <c r="G22" s="69">
        <v>-115</v>
      </c>
      <c r="H22" s="69">
        <v>200</v>
      </c>
      <c r="I22" s="69">
        <v>-50</v>
      </c>
      <c r="J22" s="69">
        <v>-344</v>
      </c>
      <c r="K22" s="69">
        <v>294</v>
      </c>
      <c r="L22" s="69">
        <v>-143</v>
      </c>
      <c r="M22" s="69">
        <v>243</v>
      </c>
      <c r="N22" s="69">
        <v>0</v>
      </c>
    </row>
    <row r="23" spans="2:14" x14ac:dyDescent="0.25">
      <c r="B23" s="69" t="s">
        <v>108</v>
      </c>
      <c r="C23" s="69">
        <v>60</v>
      </c>
      <c r="D23" s="69">
        <v>10</v>
      </c>
      <c r="E23" s="69">
        <v>-38</v>
      </c>
      <c r="F23" s="69">
        <v>-43</v>
      </c>
      <c r="G23" s="69">
        <v>-485</v>
      </c>
      <c r="H23" s="69">
        <v>359</v>
      </c>
      <c r="I23" s="69">
        <v>-46</v>
      </c>
      <c r="J23" s="69">
        <v>-948</v>
      </c>
      <c r="K23" s="69">
        <v>273</v>
      </c>
      <c r="L23" s="69">
        <v>56</v>
      </c>
      <c r="M23" s="69">
        <v>80</v>
      </c>
      <c r="N23" s="117">
        <v>-1077</v>
      </c>
    </row>
    <row r="24" spans="2:14" x14ac:dyDescent="0.25">
      <c r="B24" s="69" t="s">
        <v>109</v>
      </c>
      <c r="C24" s="117">
        <v>-1005</v>
      </c>
      <c r="D24" s="69">
        <v>-505</v>
      </c>
      <c r="E24" s="69">
        <v>-166</v>
      </c>
      <c r="F24" s="69">
        <v>-252</v>
      </c>
      <c r="G24" s="69">
        <v>-489</v>
      </c>
      <c r="H24" s="69">
        <v>-242</v>
      </c>
      <c r="I24" s="117">
        <v>-1234</v>
      </c>
      <c r="J24" s="69">
        <v>-403</v>
      </c>
      <c r="K24" s="69">
        <v>457</v>
      </c>
      <c r="L24" s="117">
        <v>-1329</v>
      </c>
      <c r="M24" s="69">
        <v>-7</v>
      </c>
      <c r="N24" s="117">
        <v>-2159</v>
      </c>
    </row>
    <row r="25" spans="2:14" x14ac:dyDescent="0.25">
      <c r="B25" s="69" t="s">
        <v>110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693</v>
      </c>
      <c r="I25" s="69">
        <v>0</v>
      </c>
      <c r="J25" s="69">
        <v>349</v>
      </c>
      <c r="K25" s="117">
        <v>1684</v>
      </c>
      <c r="L25" s="117">
        <v>5629</v>
      </c>
      <c r="M25" s="117">
        <v>2599</v>
      </c>
      <c r="N25" s="117">
        <v>3314</v>
      </c>
    </row>
    <row r="26" spans="2:14" x14ac:dyDescent="0.25">
      <c r="B26" s="69" t="s">
        <v>111</v>
      </c>
      <c r="C26" s="69">
        <v>0</v>
      </c>
      <c r="D26" s="69">
        <v>0</v>
      </c>
      <c r="E26" s="69">
        <v>0</v>
      </c>
      <c r="F26" s="69">
        <v>0</v>
      </c>
      <c r="G26" s="69">
        <v>-39</v>
      </c>
      <c r="H26" s="69">
        <v>0</v>
      </c>
      <c r="I26" s="69">
        <v>-562</v>
      </c>
      <c r="J26" s="69">
        <v>-7</v>
      </c>
      <c r="K26" s="69">
        <v>-7</v>
      </c>
      <c r="L26" s="69">
        <v>0</v>
      </c>
      <c r="M26" s="69">
        <v>-378</v>
      </c>
      <c r="N26" s="117">
        <v>-2632</v>
      </c>
    </row>
    <row r="27" spans="2:14" x14ac:dyDescent="0.25">
      <c r="B27" s="69" t="s">
        <v>112</v>
      </c>
      <c r="C27" s="69">
        <v>-81</v>
      </c>
      <c r="D27" s="69">
        <v>-42</v>
      </c>
      <c r="E27" s="69">
        <v>-38</v>
      </c>
      <c r="F27" s="69">
        <v>-54</v>
      </c>
      <c r="G27" s="69">
        <v>-53</v>
      </c>
      <c r="H27" s="69">
        <v>-399</v>
      </c>
      <c r="I27" s="69">
        <v>-317</v>
      </c>
      <c r="J27" s="69">
        <v>-218</v>
      </c>
      <c r="K27" s="69">
        <v>-300</v>
      </c>
      <c r="L27" s="69">
        <v>-619</v>
      </c>
      <c r="M27" s="69">
        <v>-538</v>
      </c>
      <c r="N27" s="117">
        <v>-1000</v>
      </c>
    </row>
    <row r="28" spans="2:14" x14ac:dyDescent="0.25">
      <c r="B28" s="69" t="s">
        <v>113</v>
      </c>
      <c r="C28" s="69">
        <v>-185</v>
      </c>
      <c r="D28" s="69">
        <v>-394</v>
      </c>
      <c r="E28" s="69">
        <v>-4</v>
      </c>
      <c r="F28" s="69">
        <v>-277</v>
      </c>
      <c r="G28" s="69">
        <v>-397</v>
      </c>
      <c r="H28" s="69">
        <v>-536</v>
      </c>
      <c r="I28" s="69">
        <v>-355</v>
      </c>
      <c r="J28" s="69">
        <v>-355</v>
      </c>
      <c r="K28" s="69">
        <v>-666</v>
      </c>
      <c r="L28" s="69">
        <v>-888</v>
      </c>
      <c r="M28" s="69">
        <v>-976</v>
      </c>
      <c r="N28" s="69">
        <v>-976</v>
      </c>
    </row>
    <row r="29" spans="2:14" x14ac:dyDescent="0.25">
      <c r="B29" s="69" t="s">
        <v>114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-172</v>
      </c>
      <c r="K29" s="69">
        <v>-254</v>
      </c>
      <c r="L29" s="69">
        <v>-318</v>
      </c>
      <c r="M29" s="69">
        <v>-700</v>
      </c>
      <c r="N29" s="69">
        <v>-865</v>
      </c>
    </row>
    <row r="30" spans="2:14" x14ac:dyDescent="0.25">
      <c r="B30" s="69" t="s">
        <v>115</v>
      </c>
      <c r="C30" s="69">
        <v>-739</v>
      </c>
      <c r="D30" s="69">
        <v>-68</v>
      </c>
      <c r="E30" s="69">
        <v>-124</v>
      </c>
      <c r="F30" s="69">
        <v>79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117">
        <v>-5133</v>
      </c>
      <c r="M30" s="69">
        <v>-14</v>
      </c>
      <c r="N30" s="69">
        <v>0</v>
      </c>
    </row>
    <row r="31" spans="2:14" x14ac:dyDescent="0.25">
      <c r="B31" s="69" t="s">
        <v>21</v>
      </c>
      <c r="C31" s="69">
        <v>-620</v>
      </c>
      <c r="D31" s="69">
        <v>-88</v>
      </c>
      <c r="E31" s="69">
        <v>594</v>
      </c>
      <c r="F31" s="69">
        <v>-206</v>
      </c>
      <c r="G31" s="69">
        <v>-43</v>
      </c>
      <c r="H31" s="69">
        <v>-355</v>
      </c>
      <c r="I31" s="69">
        <v>106</v>
      </c>
      <c r="J31" s="69">
        <v>38</v>
      </c>
      <c r="K31" s="69">
        <v>13</v>
      </c>
      <c r="L31" s="69">
        <v>177</v>
      </c>
      <c r="M31" s="69">
        <v>-2</v>
      </c>
      <c r="N31" s="69">
        <v>466</v>
      </c>
    </row>
    <row r="32" spans="2:14" x14ac:dyDescent="0.25">
      <c r="B32" s="69" t="s">
        <v>116</v>
      </c>
      <c r="C32" s="69">
        <v>296</v>
      </c>
      <c r="D32" s="69">
        <v>324</v>
      </c>
      <c r="E32" s="117">
        <v>1461</v>
      </c>
      <c r="F32" s="69">
        <v>-350</v>
      </c>
      <c r="G32" s="69">
        <v>980</v>
      </c>
      <c r="H32" s="69">
        <v>-693</v>
      </c>
      <c r="I32" s="117">
        <v>4000</v>
      </c>
      <c r="J32" s="69">
        <v>-940</v>
      </c>
      <c r="K32" s="69">
        <v>950</v>
      </c>
      <c r="L32" s="117">
        <v>1024</v>
      </c>
      <c r="M32" s="117">
        <v>-1011</v>
      </c>
      <c r="N32" s="117">
        <v>4713</v>
      </c>
    </row>
    <row r="33" spans="2:14" x14ac:dyDescent="0.25">
      <c r="B33" s="69" t="s">
        <v>117</v>
      </c>
      <c r="C33" s="70">
        <v>0.65</v>
      </c>
      <c r="D33" s="69">
        <v>0.83</v>
      </c>
      <c r="E33" s="70">
        <v>1.71</v>
      </c>
      <c r="F33" s="70">
        <v>0.25</v>
      </c>
      <c r="G33" s="70">
        <v>0.94</v>
      </c>
      <c r="H33" s="70">
        <v>0.08</v>
      </c>
      <c r="I33" s="70">
        <v>2.56</v>
      </c>
      <c r="J33" s="70">
        <v>0.02</v>
      </c>
      <c r="K33" s="70">
        <v>0.52</v>
      </c>
      <c r="L33" s="70">
        <v>0.54</v>
      </c>
      <c r="M33" s="70">
        <v>0.1</v>
      </c>
      <c r="N33" s="70">
        <v>0.88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2968-942A-4594-BAB3-9B817C813647}">
  <sheetPr>
    <tabColor rgb="FFFFFF00"/>
  </sheetPr>
  <dimension ref="B2:N7"/>
  <sheetViews>
    <sheetView showGridLines="0" workbookViewId="0">
      <selection activeCell="G24" sqref="G24"/>
    </sheetView>
  </sheetViews>
  <sheetFormatPr defaultRowHeight="15" x14ac:dyDescent="0.25"/>
  <cols>
    <col min="2" max="2" width="23.5703125" bestFit="1" customWidth="1"/>
    <col min="3" max="14" width="10.85546875" customWidth="1"/>
  </cols>
  <sheetData>
    <row r="2" spans="2:14" x14ac:dyDescent="0.25">
      <c r="B2" s="119"/>
      <c r="C2" s="120">
        <v>42064</v>
      </c>
      <c r="D2" s="120">
        <v>42430</v>
      </c>
      <c r="E2" s="120">
        <v>42795</v>
      </c>
      <c r="F2" s="120">
        <v>43160</v>
      </c>
      <c r="G2" s="120">
        <v>43525</v>
      </c>
      <c r="H2" s="120">
        <v>43891</v>
      </c>
      <c r="I2" s="120">
        <v>44256</v>
      </c>
      <c r="J2" s="120">
        <v>44621</v>
      </c>
      <c r="K2" s="120">
        <v>44986</v>
      </c>
      <c r="L2" s="120">
        <v>45352</v>
      </c>
      <c r="M2" s="120">
        <v>45717</v>
      </c>
      <c r="N2" s="120">
        <v>46082</v>
      </c>
    </row>
    <row r="3" spans="2:14" x14ac:dyDescent="0.25">
      <c r="B3" s="69" t="s">
        <v>233</v>
      </c>
      <c r="C3" s="118">
        <v>2684</v>
      </c>
      <c r="D3" s="118">
        <v>2723</v>
      </c>
      <c r="E3" s="118">
        <v>2293</v>
      </c>
      <c r="F3" s="118">
        <v>2740</v>
      </c>
      <c r="G3" s="118">
        <v>3247</v>
      </c>
      <c r="H3" s="118">
        <v>3313</v>
      </c>
      <c r="I3" s="118">
        <v>3309</v>
      </c>
      <c r="J3" s="118">
        <v>4610</v>
      </c>
      <c r="K3" s="118">
        <v>5802</v>
      </c>
      <c r="L3" s="118">
        <v>6626</v>
      </c>
      <c r="M3" s="118">
        <v>8244</v>
      </c>
      <c r="N3" s="118">
        <v>14237</v>
      </c>
    </row>
    <row r="4" spans="2:14" x14ac:dyDescent="0.25">
      <c r="B4" s="69" t="s">
        <v>234</v>
      </c>
      <c r="C4" s="118">
        <v>0</v>
      </c>
      <c r="D4" s="118">
        <v>0</v>
      </c>
      <c r="E4" s="118">
        <v>26</v>
      </c>
      <c r="F4" s="118">
        <v>-2</v>
      </c>
      <c r="G4" s="118">
        <v>14</v>
      </c>
      <c r="H4" s="118">
        <v>4</v>
      </c>
      <c r="I4" s="118">
        <v>5</v>
      </c>
      <c r="J4" s="118">
        <v>30</v>
      </c>
      <c r="K4" s="118">
        <v>53</v>
      </c>
      <c r="L4" s="118">
        <v>0</v>
      </c>
      <c r="M4" s="118">
        <v>0</v>
      </c>
      <c r="N4" s="118">
        <v>0</v>
      </c>
    </row>
    <row r="5" spans="2:14" x14ac:dyDescent="0.25">
      <c r="B5" s="69" t="s">
        <v>235</v>
      </c>
      <c r="C5" s="118">
        <v>1940</v>
      </c>
      <c r="D5" s="118">
        <v>1655</v>
      </c>
      <c r="E5" s="118">
        <v>783</v>
      </c>
      <c r="F5" s="118">
        <v>878</v>
      </c>
      <c r="G5" s="118">
        <v>906</v>
      </c>
      <c r="H5" s="118">
        <v>596</v>
      </c>
      <c r="I5" s="118">
        <v>789</v>
      </c>
      <c r="J5" s="118">
        <v>1294</v>
      </c>
      <c r="K5" s="118">
        <v>1214</v>
      </c>
      <c r="L5" s="118">
        <v>1410</v>
      </c>
      <c r="M5" s="118">
        <v>1963</v>
      </c>
      <c r="N5" s="118">
        <v>2864</v>
      </c>
    </row>
    <row r="6" spans="2:14" x14ac:dyDescent="0.25">
      <c r="B6" s="69" t="s">
        <v>236</v>
      </c>
      <c r="C6" s="118">
        <v>160</v>
      </c>
      <c r="D6" s="118">
        <v>710</v>
      </c>
      <c r="E6" s="118">
        <v>943</v>
      </c>
      <c r="F6" s="118">
        <v>233</v>
      </c>
      <c r="G6" s="118">
        <v>290</v>
      </c>
      <c r="H6" s="118">
        <v>386</v>
      </c>
      <c r="I6" s="118">
        <v>479</v>
      </c>
      <c r="J6" s="118">
        <v>532</v>
      </c>
      <c r="K6" s="118">
        <v>718</v>
      </c>
      <c r="L6" s="118">
        <v>1085</v>
      </c>
      <c r="M6" s="118">
        <v>2140</v>
      </c>
      <c r="N6" s="118">
        <v>4745</v>
      </c>
    </row>
    <row r="7" spans="2:14" x14ac:dyDescent="0.25">
      <c r="B7" s="69" t="s">
        <v>237</v>
      </c>
      <c r="C7" s="118">
        <v>585</v>
      </c>
      <c r="D7" s="118">
        <v>358</v>
      </c>
      <c r="E7" s="118">
        <v>541</v>
      </c>
      <c r="F7" s="118">
        <v>1631</v>
      </c>
      <c r="G7" s="118">
        <v>2037</v>
      </c>
      <c r="H7" s="118">
        <v>2327</v>
      </c>
      <c r="I7" s="118">
        <v>2036</v>
      </c>
      <c r="J7" s="118">
        <v>2754</v>
      </c>
      <c r="K7" s="118">
        <v>3817</v>
      </c>
      <c r="L7" s="118">
        <v>4131</v>
      </c>
      <c r="M7" s="118">
        <v>4141</v>
      </c>
      <c r="N7" s="118">
        <v>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Cover</vt:lpstr>
      <vt:lpstr>Summary</vt:lpstr>
      <vt:lpstr>Assumptions</vt:lpstr>
      <vt:lpstr>Financials&gt;</vt:lpstr>
      <vt:lpstr>Historical FS</vt:lpstr>
      <vt:lpstr>Forcasting</vt:lpstr>
      <vt:lpstr>FA Schedule</vt:lpstr>
      <vt:lpstr>WC Schedule</vt:lpstr>
      <vt:lpstr>Debt Schedule</vt:lpstr>
      <vt:lpstr>Ratio Analysis</vt:lpstr>
      <vt:lpstr>Checks</vt:lpstr>
      <vt:lpstr>Data&gt;</vt:lpstr>
      <vt:lpstr>Data Sheet</vt:lpstr>
      <vt:lpstr>Cashflow Data</vt:lpstr>
      <vt:lpstr>Other liabilities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Admin</cp:lastModifiedBy>
  <cp:lastPrinted>2026-10-03T11:24:40Z</cp:lastPrinted>
  <dcterms:created xsi:type="dcterms:W3CDTF">2012-08-17T09:55:37Z</dcterms:created>
  <dcterms:modified xsi:type="dcterms:W3CDTF">2026-10-18T07:37:31Z</dcterms:modified>
</cp:coreProperties>
</file>